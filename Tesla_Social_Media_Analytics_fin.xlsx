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pivotCache/pivotCacheDefinition12.xml" ContentType="application/vnd.openxmlformats-officedocument.spreadsheetml.pivotCacheDefinition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Records10.xml" ContentType="application/vnd.openxmlformats-officedocument.spreadsheetml.pivotCacheRecords+xml"/>
  <Override PartName="/xl/pivotTables/pivotTable14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Records6.xml" ContentType="application/vnd.openxmlformats-officedocument.spreadsheetml.pivotCacheRecords+xml"/>
  <Override PartName="/xl/pivotTables/pivotTable12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worksheets/sheet18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worksheets/sheet16.xml" ContentType="application/vnd.openxmlformats-officedocument.spreadsheetml.worksheet+xml"/>
  <Override PartName="/xl/pivotCache/pivotCacheDefinition15.xml" ContentType="application/vnd.openxmlformats-officedocument.spreadsheetml.pivotCacheDefinition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pivotCache/pivotCacheDefinition9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7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5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Records13.xml" ContentType="application/vnd.openxmlformats-officedocument.spreadsheetml.pivotCacheRecord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pivotTables/pivotTable15.xml" ContentType="application/vnd.openxmlformats-officedocument.spreadsheetml.pivot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Records11.xml" ContentType="application/vnd.openxmlformats-officedocument.spreadsheetml.pivotCacheRecords+xml"/>
  <Override PartName="/xl/drawings/drawing1.xml" ContentType="application/vnd.openxmlformats-officedocument.drawing+xml"/>
  <Override PartName="/xl/pivotTables/pivotTable1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tables/table6.xml" ContentType="application/vnd.openxmlformats-officedocument.spreadsheetml.table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pivotCache/pivotCacheDefinition14.xml" ContentType="application/vnd.openxmlformats-officedocument.spreadsheetml.pivotCacheDefinition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492" yWindow="864" windowWidth="22428" windowHeight="8400" tabRatio="824" firstSheet="4" activeTab="21"/>
  </bookViews>
  <sheets>
    <sheet name="Posts" sheetId="1" r:id="rId1"/>
    <sheet name="Engagement Summary" sheetId="2" r:id="rId2"/>
    <sheet name="Campaign Metadata" sheetId="3" r:id="rId3"/>
    <sheet name="Task 2" sheetId="8" r:id="rId4"/>
    <sheet name="Task 2.1" sheetId="10" r:id="rId5"/>
    <sheet name="Task 2.2" sheetId="14" r:id="rId6"/>
    <sheet name="Task 3" sheetId="16" r:id="rId7"/>
    <sheet name="Task 3.1" sheetId="19" r:id="rId8"/>
    <sheet name="Task 3.2" sheetId="26" r:id="rId9"/>
    <sheet name="Task 4" sheetId="21" r:id="rId10"/>
    <sheet name="Task 4.1" sheetId="22" r:id="rId11"/>
    <sheet name="Task 4.2" sheetId="28" r:id="rId12"/>
    <sheet name="Task 4.3" sheetId="29" r:id="rId13"/>
    <sheet name="Task 5" sheetId="23" r:id="rId14"/>
    <sheet name="Task 5.1" sheetId="36" r:id="rId15"/>
    <sheet name="Task 5.2" sheetId="39" r:id="rId16"/>
    <sheet name="Task 5.3" sheetId="42" r:id="rId17"/>
    <sheet name="Task 6" sheetId="31" r:id="rId18"/>
    <sheet name="Task 6.1" sheetId="32" r:id="rId19"/>
    <sheet name="Task 6.2" sheetId="45" r:id="rId20"/>
    <sheet name="Task 6.3" sheetId="48" r:id="rId21"/>
    <sheet name="Video Link" sheetId="49" r:id="rId22"/>
  </sheets>
  <definedNames>
    <definedName name="_xlnm._FilterDatabase" localSheetId="2" hidden="1">'Campaign Metadata'!$B$1:$B$1000</definedName>
    <definedName name="_xlnm._FilterDatabase" localSheetId="1" hidden="1">'Engagement Summary'!$A$1:$J$201</definedName>
    <definedName name="_xlnm._FilterDatabase" localSheetId="0" hidden="1">Posts!$A$1:$A$1000</definedName>
  </definedNames>
  <calcPr calcId="12451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  <pivotCache cacheId="9" r:id="rId32"/>
    <pivotCache cacheId="10" r:id="rId33"/>
    <pivotCache cacheId="11" r:id="rId34"/>
    <pivotCache cacheId="12" r:id="rId35"/>
    <pivotCache cacheId="13" r:id="rId36"/>
    <pivotCache cacheId="14" r:id="rId37"/>
  </pivotCaches>
</workbook>
</file>

<file path=xl/calcChain.xml><?xml version="1.0" encoding="utf-8"?>
<calcChain xmlns="http://schemas.openxmlformats.org/spreadsheetml/2006/main">
  <c r="F2" i="2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F201"/>
  <c r="I201"/>
  <c r="L201"/>
  <c r="M201"/>
  <c r="P2" i="1"/>
  <c r="M2" i="2"/>
  <c r="L2"/>
  <c r="Q2" i="36"/>
  <c r="P5"/>
  <c r="R5" s="1"/>
  <c r="P2"/>
  <c r="P3"/>
  <c r="M3" i="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O3" i="36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2"/>
  <c r="P4"/>
  <c r="P6"/>
  <c r="R6" s="1"/>
  <c r="P7"/>
  <c r="Q7" s="1"/>
  <c r="P8"/>
  <c r="R8" s="1"/>
  <c r="P9"/>
  <c r="R9" s="1"/>
  <c r="P10"/>
  <c r="R10" s="1"/>
  <c r="P11"/>
  <c r="R11" s="1"/>
  <c r="P12"/>
  <c r="R12" s="1"/>
  <c r="P13"/>
  <c r="R13" s="1"/>
  <c r="P14"/>
  <c r="R14" s="1"/>
  <c r="P15"/>
  <c r="Q15" s="1"/>
  <c r="P16"/>
  <c r="R16" s="1"/>
  <c r="P17"/>
  <c r="R17" s="1"/>
  <c r="P18"/>
  <c r="R18" s="1"/>
  <c r="P19"/>
  <c r="R19" s="1"/>
  <c r="P20"/>
  <c r="R20" s="1"/>
  <c r="P21"/>
  <c r="R21" s="1"/>
  <c r="P22"/>
  <c r="R22" s="1"/>
  <c r="P23"/>
  <c r="R23" s="1"/>
  <c r="P24"/>
  <c r="R24" s="1"/>
  <c r="P25"/>
  <c r="R25" s="1"/>
  <c r="P26"/>
  <c r="R26" s="1"/>
  <c r="P27"/>
  <c r="R27" s="1"/>
  <c r="P28"/>
  <c r="R28" s="1"/>
  <c r="P29"/>
  <c r="R29" s="1"/>
  <c r="P30"/>
  <c r="R30" s="1"/>
  <c r="P31"/>
  <c r="R31" s="1"/>
  <c r="P32"/>
  <c r="R32" s="1"/>
  <c r="P33"/>
  <c r="R33" s="1"/>
  <c r="P34"/>
  <c r="R34" s="1"/>
  <c r="P35"/>
  <c r="R35" s="1"/>
  <c r="P36"/>
  <c r="R36" s="1"/>
  <c r="P37"/>
  <c r="R37" s="1"/>
  <c r="P38"/>
  <c r="R38" s="1"/>
  <c r="P39"/>
  <c r="R39" s="1"/>
  <c r="P40"/>
  <c r="Q40" s="1"/>
  <c r="P41"/>
  <c r="R41" s="1"/>
  <c r="P42"/>
  <c r="R42" s="1"/>
  <c r="P43"/>
  <c r="R43" s="1"/>
  <c r="P44"/>
  <c r="R44" s="1"/>
  <c r="P45"/>
  <c r="R45" s="1"/>
  <c r="P46"/>
  <c r="R46" s="1"/>
  <c r="P47"/>
  <c r="R47" s="1"/>
  <c r="P48"/>
  <c r="R48" s="1"/>
  <c r="P49"/>
  <c r="R49" s="1"/>
  <c r="P50"/>
  <c r="R50" s="1"/>
  <c r="P51"/>
  <c r="R51" s="1"/>
  <c r="P52"/>
  <c r="R52" s="1"/>
  <c r="P53"/>
  <c r="Q53" s="1"/>
  <c r="P54"/>
  <c r="R54" s="1"/>
  <c r="P55"/>
  <c r="Q55" s="1"/>
  <c r="P56"/>
  <c r="R56" s="1"/>
  <c r="P57"/>
  <c r="R57" s="1"/>
  <c r="P58"/>
  <c r="R58" s="1"/>
  <c r="P59"/>
  <c r="R59" s="1"/>
  <c r="P60"/>
  <c r="R60" s="1"/>
  <c r="P61"/>
  <c r="R61" s="1"/>
  <c r="P62"/>
  <c r="R62" s="1"/>
  <c r="P63"/>
  <c r="Q63" s="1"/>
  <c r="P64"/>
  <c r="Q64" s="1"/>
  <c r="P65"/>
  <c r="Q65" s="1"/>
  <c r="P66"/>
  <c r="R66" s="1"/>
  <c r="P67"/>
  <c r="R67" s="1"/>
  <c r="P68"/>
  <c r="R68" s="1"/>
  <c r="P69"/>
  <c r="R69" s="1"/>
  <c r="P70"/>
  <c r="R70" s="1"/>
  <c r="P71"/>
  <c r="R71" s="1"/>
  <c r="P72"/>
  <c r="R72" s="1"/>
  <c r="P73"/>
  <c r="R73" s="1"/>
  <c r="P74"/>
  <c r="R74" s="1"/>
  <c r="P75"/>
  <c r="R75" s="1"/>
  <c r="P76"/>
  <c r="Q76" s="1"/>
  <c r="P77"/>
  <c r="R77" s="1"/>
  <c r="P78"/>
  <c r="R78" s="1"/>
  <c r="P79"/>
  <c r="R79" s="1"/>
  <c r="P80"/>
  <c r="R80" s="1"/>
  <c r="P81"/>
  <c r="R81" s="1"/>
  <c r="P82"/>
  <c r="R82" s="1"/>
  <c r="P83"/>
  <c r="R83" s="1"/>
  <c r="P84"/>
  <c r="R84" s="1"/>
  <c r="P85"/>
  <c r="R85" s="1"/>
  <c r="P86"/>
  <c r="R86" s="1"/>
  <c r="P87"/>
  <c r="Q87" s="1"/>
  <c r="P88"/>
  <c r="Q88" s="1"/>
  <c r="P89"/>
  <c r="Q89" s="1"/>
  <c r="P90"/>
  <c r="R90" s="1"/>
  <c r="P91"/>
  <c r="R91" s="1"/>
  <c r="P92"/>
  <c r="R92" s="1"/>
  <c r="P93"/>
  <c r="R93" s="1"/>
  <c r="P94"/>
  <c r="R94" s="1"/>
  <c r="P95"/>
  <c r="R95" s="1"/>
  <c r="P96"/>
  <c r="R96" s="1"/>
  <c r="P97"/>
  <c r="R97" s="1"/>
  <c r="P98"/>
  <c r="R98" s="1"/>
  <c r="P99"/>
  <c r="Q99" s="1"/>
  <c r="P100"/>
  <c r="Q100" s="1"/>
  <c r="P101"/>
  <c r="Q101" s="1"/>
  <c r="P102"/>
  <c r="R102" s="1"/>
  <c r="P103"/>
  <c r="R103" s="1"/>
  <c r="P104"/>
  <c r="R104" s="1"/>
  <c r="P105"/>
  <c r="R105" s="1"/>
  <c r="P106"/>
  <c r="R106" s="1"/>
  <c r="P107"/>
  <c r="R107" s="1"/>
  <c r="P108"/>
  <c r="R108" s="1"/>
  <c r="P109"/>
  <c r="R109" s="1"/>
  <c r="P110"/>
  <c r="R110" s="1"/>
  <c r="P111"/>
  <c r="R111" s="1"/>
  <c r="P112"/>
  <c r="R112" s="1"/>
  <c r="P113"/>
  <c r="R113" s="1"/>
  <c r="P114"/>
  <c r="R114" s="1"/>
  <c r="P115"/>
  <c r="R115" s="1"/>
  <c r="P116"/>
  <c r="R116" s="1"/>
  <c r="P117"/>
  <c r="R117" s="1"/>
  <c r="P118"/>
  <c r="R118" s="1"/>
  <c r="P119"/>
  <c r="R119" s="1"/>
  <c r="P120"/>
  <c r="R120" s="1"/>
  <c r="P121"/>
  <c r="R121" s="1"/>
  <c r="P122"/>
  <c r="R122" s="1"/>
  <c r="P123"/>
  <c r="Q123" s="1"/>
  <c r="P124"/>
  <c r="R124" s="1"/>
  <c r="P125"/>
  <c r="Q125" s="1"/>
  <c r="P126"/>
  <c r="R126" s="1"/>
  <c r="P127"/>
  <c r="R127" s="1"/>
  <c r="P128"/>
  <c r="R128" s="1"/>
  <c r="P129"/>
  <c r="R129" s="1"/>
  <c r="P130"/>
  <c r="R130" s="1"/>
  <c r="P131"/>
  <c r="R131" s="1"/>
  <c r="P132"/>
  <c r="R132" s="1"/>
  <c r="P133"/>
  <c r="R133" s="1"/>
  <c r="P134"/>
  <c r="R134" s="1"/>
  <c r="P135"/>
  <c r="Q135" s="1"/>
  <c r="P136"/>
  <c r="R136" s="1"/>
  <c r="P137"/>
  <c r="Q137" s="1"/>
  <c r="P138"/>
  <c r="R138" s="1"/>
  <c r="P139"/>
  <c r="Q139" s="1"/>
  <c r="P140"/>
  <c r="R140" s="1"/>
  <c r="P141"/>
  <c r="R141" s="1"/>
  <c r="P142"/>
  <c r="R142" s="1"/>
  <c r="P143"/>
  <c r="R143" s="1"/>
  <c r="P144"/>
  <c r="R144" s="1"/>
  <c r="P145"/>
  <c r="R145" s="1"/>
  <c r="P146"/>
  <c r="R146" s="1"/>
  <c r="P147"/>
  <c r="R147" s="1"/>
  <c r="P148"/>
  <c r="R148" s="1"/>
  <c r="P149"/>
  <c r="Q149" s="1"/>
  <c r="P150"/>
  <c r="R150" s="1"/>
  <c r="P151"/>
  <c r="Q151" s="1"/>
  <c r="P152"/>
  <c r="R152" s="1"/>
  <c r="P153"/>
  <c r="R153" s="1"/>
  <c r="P154"/>
  <c r="R154" s="1"/>
  <c r="P155"/>
  <c r="R155" s="1"/>
  <c r="P156"/>
  <c r="R156" s="1"/>
  <c r="P157"/>
  <c r="R157" s="1"/>
  <c r="P158"/>
  <c r="R158" s="1"/>
  <c r="P159"/>
  <c r="Q159" s="1"/>
  <c r="P160"/>
  <c r="Q160" s="1"/>
  <c r="P161"/>
  <c r="R161" s="1"/>
  <c r="P162"/>
  <c r="R162" s="1"/>
  <c r="P163"/>
  <c r="R163" s="1"/>
  <c r="P164"/>
  <c r="R164" s="1"/>
  <c r="P165"/>
  <c r="R165" s="1"/>
  <c r="P166"/>
  <c r="R166" s="1"/>
  <c r="P167"/>
  <c r="R167" s="1"/>
  <c r="P168"/>
  <c r="R168" s="1"/>
  <c r="P169"/>
  <c r="R169" s="1"/>
  <c r="P170"/>
  <c r="R170" s="1"/>
  <c r="P171"/>
  <c r="R171" s="1"/>
  <c r="P172"/>
  <c r="R172" s="1"/>
  <c r="P173"/>
  <c r="R173" s="1"/>
  <c r="P174"/>
  <c r="R174" s="1"/>
  <c r="P175"/>
  <c r="R175" s="1"/>
  <c r="P176"/>
  <c r="R176" s="1"/>
  <c r="P177"/>
  <c r="R177" s="1"/>
  <c r="P178"/>
  <c r="R178" s="1"/>
  <c r="P179"/>
  <c r="R179" s="1"/>
  <c r="P180"/>
  <c r="R180" s="1"/>
  <c r="P181"/>
  <c r="R181" s="1"/>
  <c r="P182"/>
  <c r="R182" s="1"/>
  <c r="P183"/>
  <c r="R183" s="1"/>
  <c r="P184"/>
  <c r="Q184" s="1"/>
  <c r="P185"/>
  <c r="R185" s="1"/>
  <c r="P186"/>
  <c r="R186" s="1"/>
  <c r="P187"/>
  <c r="Q187" s="1"/>
  <c r="P188"/>
  <c r="R188" s="1"/>
  <c r="P189"/>
  <c r="R189" s="1"/>
  <c r="P190"/>
  <c r="R190" s="1"/>
  <c r="P191"/>
  <c r="R191" s="1"/>
  <c r="P192"/>
  <c r="R192" s="1"/>
  <c r="P193"/>
  <c r="R193" s="1"/>
  <c r="P194"/>
  <c r="R194" s="1"/>
  <c r="P195"/>
  <c r="R195" s="1"/>
  <c r="P196"/>
  <c r="R196" s="1"/>
  <c r="P197"/>
  <c r="R197" s="1"/>
  <c r="P198"/>
  <c r="R198" s="1"/>
  <c r="P199"/>
  <c r="R199" s="1"/>
  <c r="P200"/>
  <c r="R200" s="1"/>
  <c r="P201"/>
  <c r="R201" s="1"/>
  <c r="P202"/>
  <c r="R202" s="1"/>
  <c r="P203"/>
  <c r="R203" s="1"/>
  <c r="P204"/>
  <c r="R204" s="1"/>
  <c r="P205"/>
  <c r="R205" s="1"/>
  <c r="P206"/>
  <c r="R206" s="1"/>
  <c r="P207"/>
  <c r="R207" s="1"/>
  <c r="P208"/>
  <c r="R208" s="1"/>
  <c r="P209"/>
  <c r="R209" s="1"/>
  <c r="P210"/>
  <c r="R210" s="1"/>
  <c r="P211"/>
  <c r="R211" s="1"/>
  <c r="P212"/>
  <c r="R212" s="1"/>
  <c r="P213"/>
  <c r="R213" s="1"/>
  <c r="P214"/>
  <c r="R214" s="1"/>
  <c r="P215"/>
  <c r="R215" s="1"/>
  <c r="P216"/>
  <c r="R216" s="1"/>
  <c r="P217"/>
  <c r="R217" s="1"/>
  <c r="P218"/>
  <c r="R218" s="1"/>
  <c r="P219"/>
  <c r="R219" s="1"/>
  <c r="P220"/>
  <c r="R220" s="1"/>
  <c r="P221"/>
  <c r="Q221" s="1"/>
  <c r="P222"/>
  <c r="R222" s="1"/>
  <c r="P223"/>
  <c r="Q223" s="1"/>
  <c r="P224"/>
  <c r="R224" s="1"/>
  <c r="P225"/>
  <c r="R225" s="1"/>
  <c r="P226"/>
  <c r="R226" s="1"/>
  <c r="P227"/>
  <c r="R227" s="1"/>
  <c r="P228"/>
  <c r="R228" s="1"/>
  <c r="P229"/>
  <c r="R229" s="1"/>
  <c r="P230"/>
  <c r="R230" s="1"/>
  <c r="P231"/>
  <c r="Q231" s="1"/>
  <c r="P232"/>
  <c r="Q232" s="1"/>
  <c r="P233"/>
  <c r="Q233" s="1"/>
  <c r="P234"/>
  <c r="R234" s="1"/>
  <c r="P235"/>
  <c r="R235" s="1"/>
  <c r="P236"/>
  <c r="R236" s="1"/>
  <c r="P237"/>
  <c r="R237" s="1"/>
  <c r="P238"/>
  <c r="R238" s="1"/>
  <c r="P239"/>
  <c r="R239" s="1"/>
  <c r="P240"/>
  <c r="R240" s="1"/>
  <c r="P241"/>
  <c r="R241" s="1"/>
  <c r="P242"/>
  <c r="R242" s="1"/>
  <c r="P243"/>
  <c r="Q243" s="1"/>
  <c r="P244"/>
  <c r="R244" s="1"/>
  <c r="P245"/>
  <c r="R245" s="1"/>
  <c r="P246"/>
  <c r="R246" s="1"/>
  <c r="P247"/>
  <c r="R247" s="1"/>
  <c r="P248"/>
  <c r="R248" s="1"/>
  <c r="P249"/>
  <c r="R249" s="1"/>
  <c r="P250"/>
  <c r="R250" s="1"/>
  <c r="P251"/>
  <c r="R251" s="1"/>
  <c r="P252"/>
  <c r="R252" s="1"/>
  <c r="P253"/>
  <c r="R253" s="1"/>
  <c r="P254"/>
  <c r="R254" s="1"/>
  <c r="P255"/>
  <c r="Q255" s="1"/>
  <c r="P256"/>
  <c r="Q256" s="1"/>
  <c r="P257"/>
  <c r="Q257" s="1"/>
  <c r="P258"/>
  <c r="R258" s="1"/>
  <c r="P259"/>
  <c r="Q259" s="1"/>
  <c r="P260"/>
  <c r="R260" s="1"/>
  <c r="P261"/>
  <c r="R261" s="1"/>
  <c r="P262"/>
  <c r="R262" s="1"/>
  <c r="P263"/>
  <c r="R263" s="1"/>
  <c r="P264"/>
  <c r="R264" s="1"/>
  <c r="P265"/>
  <c r="R265" s="1"/>
  <c r="P266"/>
  <c r="R266" s="1"/>
  <c r="P267"/>
  <c r="Q267" s="1"/>
  <c r="P268"/>
  <c r="Q268" s="1"/>
  <c r="P269"/>
  <c r="Q269" s="1"/>
  <c r="P270"/>
  <c r="R270" s="1"/>
  <c r="P271"/>
  <c r="Q271" s="1"/>
  <c r="P272"/>
  <c r="R272" s="1"/>
  <c r="P273"/>
  <c r="R273" s="1"/>
  <c r="P274"/>
  <c r="R274" s="1"/>
  <c r="P275"/>
  <c r="R275" s="1"/>
  <c r="P276"/>
  <c r="R276" s="1"/>
  <c r="P277"/>
  <c r="R277" s="1"/>
  <c r="P278"/>
  <c r="R278" s="1"/>
  <c r="P279"/>
  <c r="R279" s="1"/>
  <c r="P280"/>
  <c r="R280" s="1"/>
  <c r="P281"/>
  <c r="Q281" s="1"/>
  <c r="P282"/>
  <c r="R282" s="1"/>
  <c r="P283"/>
  <c r="R283" s="1"/>
  <c r="P284"/>
  <c r="R284" s="1"/>
  <c r="P285"/>
  <c r="R285" s="1"/>
  <c r="P286"/>
  <c r="R286" s="1"/>
  <c r="P287"/>
  <c r="R287" s="1"/>
  <c r="P288"/>
  <c r="R288" s="1"/>
  <c r="P289"/>
  <c r="R289" s="1"/>
  <c r="P290"/>
  <c r="R290" s="1"/>
  <c r="P291"/>
  <c r="R291" s="1"/>
  <c r="P292"/>
  <c r="Q292" s="1"/>
  <c r="P293"/>
  <c r="R293" s="1"/>
  <c r="P294"/>
  <c r="R294" s="1"/>
  <c r="P295"/>
  <c r="Q295" s="1"/>
  <c r="P296"/>
  <c r="R296" s="1"/>
  <c r="P297"/>
  <c r="R297" s="1"/>
  <c r="P298"/>
  <c r="R298" s="1"/>
  <c r="P299"/>
  <c r="R299" s="1"/>
  <c r="P300"/>
  <c r="R300" s="1"/>
  <c r="P301"/>
  <c r="R301" s="1"/>
  <c r="I52" i="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Q3" i="36" l="1"/>
  <c r="Q4"/>
  <c r="R2"/>
  <c r="S2" s="1"/>
  <c r="Q219"/>
  <c r="Q111"/>
  <c r="Q27"/>
  <c r="R243"/>
  <c r="S243" s="1"/>
  <c r="R159"/>
  <c r="R63"/>
  <c r="R3"/>
  <c r="Q220"/>
  <c r="S220" s="1"/>
  <c r="Q124"/>
  <c r="Q28"/>
  <c r="R256"/>
  <c r="S256" s="1"/>
  <c r="R160"/>
  <c r="R76"/>
  <c r="S76" s="1"/>
  <c r="R40"/>
  <c r="R4"/>
  <c r="Q293"/>
  <c r="Q245"/>
  <c r="Q209"/>
  <c r="Q197"/>
  <c r="Q185"/>
  <c r="S185" s="1"/>
  <c r="Q173"/>
  <c r="S173" s="1"/>
  <c r="Q161"/>
  <c r="Q113"/>
  <c r="S113" s="1"/>
  <c r="Q77"/>
  <c r="S77" s="1"/>
  <c r="Q41"/>
  <c r="S41" s="1"/>
  <c r="Q29"/>
  <c r="Q17"/>
  <c r="Q5"/>
  <c r="R281"/>
  <c r="R269"/>
  <c r="R257"/>
  <c r="R233"/>
  <c r="R221"/>
  <c r="R149"/>
  <c r="R137"/>
  <c r="S137" s="1"/>
  <c r="R125"/>
  <c r="S125" s="1"/>
  <c r="R101"/>
  <c r="S101" s="1"/>
  <c r="R89"/>
  <c r="S89" s="1"/>
  <c r="R65"/>
  <c r="S65" s="1"/>
  <c r="R53"/>
  <c r="S53" s="1"/>
  <c r="Q294"/>
  <c r="Q282"/>
  <c r="S282" s="1"/>
  <c r="Q270"/>
  <c r="S270" s="1"/>
  <c r="Q258"/>
  <c r="S258" s="1"/>
  <c r="Q246"/>
  <c r="Q234"/>
  <c r="Q222"/>
  <c r="Q210"/>
  <c r="Q198"/>
  <c r="Q186"/>
  <c r="Q174"/>
  <c r="S174" s="1"/>
  <c r="Q162"/>
  <c r="Q150"/>
  <c r="S150" s="1"/>
  <c r="Q138"/>
  <c r="Q126"/>
  <c r="Q114"/>
  <c r="S114" s="1"/>
  <c r="Q102"/>
  <c r="Q90"/>
  <c r="Q78"/>
  <c r="Q66"/>
  <c r="Q54"/>
  <c r="Q42"/>
  <c r="Q30"/>
  <c r="Q18"/>
  <c r="Q6"/>
  <c r="Q279"/>
  <c r="S279" s="1"/>
  <c r="Q39"/>
  <c r="S39" s="1"/>
  <c r="R99"/>
  <c r="S99" s="1"/>
  <c r="Q280"/>
  <c r="Q172"/>
  <c r="Q52"/>
  <c r="S52" s="1"/>
  <c r="R232"/>
  <c r="R100"/>
  <c r="S100" s="1"/>
  <c r="Q283"/>
  <c r="Q163"/>
  <c r="S163" s="1"/>
  <c r="Q67"/>
  <c r="S67" s="1"/>
  <c r="R271"/>
  <c r="R55"/>
  <c r="Q296"/>
  <c r="Q284"/>
  <c r="Q272"/>
  <c r="S272" s="1"/>
  <c r="Q260"/>
  <c r="S260" s="1"/>
  <c r="Q248"/>
  <c r="Q236"/>
  <c r="Q224"/>
  <c r="S224" s="1"/>
  <c r="Q212"/>
  <c r="Q200"/>
  <c r="Q188"/>
  <c r="Q176"/>
  <c r="Q164"/>
  <c r="Q152"/>
  <c r="S152" s="1"/>
  <c r="Q140"/>
  <c r="S140" s="1"/>
  <c r="Q128"/>
  <c r="Q116"/>
  <c r="Q104"/>
  <c r="S104" s="1"/>
  <c r="Q92"/>
  <c r="Q80"/>
  <c r="S80" s="1"/>
  <c r="Q68"/>
  <c r="S68" s="1"/>
  <c r="Q56"/>
  <c r="S56" s="1"/>
  <c r="Q44"/>
  <c r="Q32"/>
  <c r="S32" s="1"/>
  <c r="Q20"/>
  <c r="S20" s="1"/>
  <c r="Q8"/>
  <c r="Q207"/>
  <c r="R231"/>
  <c r="S231" s="1"/>
  <c r="R135"/>
  <c r="S135" s="1"/>
  <c r="Q196"/>
  <c r="Q112"/>
  <c r="Q16"/>
  <c r="S16" s="1"/>
  <c r="Q247"/>
  <c r="Q175"/>
  <c r="Q103"/>
  <c r="Q19"/>
  <c r="R223"/>
  <c r="R7"/>
  <c r="S7" s="1"/>
  <c r="Q297"/>
  <c r="S297" s="1"/>
  <c r="Q285"/>
  <c r="S285" s="1"/>
  <c r="Q273"/>
  <c r="Q261"/>
  <c r="S261" s="1"/>
  <c r="Q249"/>
  <c r="S249" s="1"/>
  <c r="Q237"/>
  <c r="S237" s="1"/>
  <c r="Q225"/>
  <c r="S225" s="1"/>
  <c r="Q213"/>
  <c r="S213" s="1"/>
  <c r="Q201"/>
  <c r="S201" s="1"/>
  <c r="Q189"/>
  <c r="S189" s="1"/>
  <c r="Q177"/>
  <c r="S177" s="1"/>
  <c r="Q165"/>
  <c r="S165" s="1"/>
  <c r="Q153"/>
  <c r="S153" s="1"/>
  <c r="Q141"/>
  <c r="S141" s="1"/>
  <c r="Q129"/>
  <c r="S129" s="1"/>
  <c r="Q117"/>
  <c r="S117" s="1"/>
  <c r="Q105"/>
  <c r="S105" s="1"/>
  <c r="Q93"/>
  <c r="S93" s="1"/>
  <c r="Q81"/>
  <c r="S81" s="1"/>
  <c r="Q69"/>
  <c r="S69" s="1"/>
  <c r="Q57"/>
  <c r="S57" s="1"/>
  <c r="Q45"/>
  <c r="S45" s="1"/>
  <c r="Q33"/>
  <c r="S33" s="1"/>
  <c r="Q21"/>
  <c r="S21" s="1"/>
  <c r="Q9"/>
  <c r="Q291"/>
  <c r="S291" s="1"/>
  <c r="Q171"/>
  <c r="Q75"/>
  <c r="R255"/>
  <c r="S255" s="1"/>
  <c r="R123"/>
  <c r="S123" s="1"/>
  <c r="R64"/>
  <c r="Q199"/>
  <c r="S199" s="1"/>
  <c r="Q91"/>
  <c r="S91" s="1"/>
  <c r="R295"/>
  <c r="S295" s="1"/>
  <c r="R139"/>
  <c r="Q298"/>
  <c r="S298" s="1"/>
  <c r="Q286"/>
  <c r="S286" s="1"/>
  <c r="Q274"/>
  <c r="S274" s="1"/>
  <c r="Q262"/>
  <c r="S262" s="1"/>
  <c r="Q250"/>
  <c r="S250" s="1"/>
  <c r="Q238"/>
  <c r="S238" s="1"/>
  <c r="Q226"/>
  <c r="S226" s="1"/>
  <c r="Q214"/>
  <c r="S214" s="1"/>
  <c r="Q202"/>
  <c r="S202" s="1"/>
  <c r="Q190"/>
  <c r="S190" s="1"/>
  <c r="Q178"/>
  <c r="S178" s="1"/>
  <c r="Q166"/>
  <c r="S166" s="1"/>
  <c r="Q154"/>
  <c r="S154" s="1"/>
  <c r="Q142"/>
  <c r="S142" s="1"/>
  <c r="Q130"/>
  <c r="S130" s="1"/>
  <c r="Q118"/>
  <c r="S118" s="1"/>
  <c r="Q106"/>
  <c r="S106" s="1"/>
  <c r="Q94"/>
  <c r="Q82"/>
  <c r="S82" s="1"/>
  <c r="Q70"/>
  <c r="S70" s="1"/>
  <c r="Q58"/>
  <c r="S58" s="1"/>
  <c r="Q46"/>
  <c r="S46" s="1"/>
  <c r="Q34"/>
  <c r="S34" s="1"/>
  <c r="Q22"/>
  <c r="Q10"/>
  <c r="Q147"/>
  <c r="S147" s="1"/>
  <c r="Q51"/>
  <c r="R267"/>
  <c r="S267" s="1"/>
  <c r="R87"/>
  <c r="S87" s="1"/>
  <c r="R15"/>
  <c r="Q244"/>
  <c r="R268"/>
  <c r="S268" s="1"/>
  <c r="R184"/>
  <c r="S184" s="1"/>
  <c r="Q211"/>
  <c r="S211" s="1"/>
  <c r="Q115"/>
  <c r="S115" s="1"/>
  <c r="Q31"/>
  <c r="R259"/>
  <c r="S259" s="1"/>
  <c r="R187"/>
  <c r="S187" s="1"/>
  <c r="Q299"/>
  <c r="S299" s="1"/>
  <c r="Q287"/>
  <c r="S287" s="1"/>
  <c r="Q275"/>
  <c r="Q263"/>
  <c r="S263" s="1"/>
  <c r="Q251"/>
  <c r="S251" s="1"/>
  <c r="Q239"/>
  <c r="S239" s="1"/>
  <c r="Q227"/>
  <c r="S227" s="1"/>
  <c r="Q215"/>
  <c r="Q203"/>
  <c r="Q191"/>
  <c r="Q179"/>
  <c r="S179" s="1"/>
  <c r="Q167"/>
  <c r="Q155"/>
  <c r="Q143"/>
  <c r="Q131"/>
  <c r="S131" s="1"/>
  <c r="Q119"/>
  <c r="Q107"/>
  <c r="S107" s="1"/>
  <c r="Q95"/>
  <c r="Q83"/>
  <c r="S83" s="1"/>
  <c r="Q71"/>
  <c r="Q59"/>
  <c r="Q47"/>
  <c r="Q35"/>
  <c r="S35" s="1"/>
  <c r="Q23"/>
  <c r="Q11"/>
  <c r="Q195"/>
  <c r="S195" s="1"/>
  <c r="Q208"/>
  <c r="Q136"/>
  <c r="S136" s="1"/>
  <c r="R292"/>
  <c r="S292" s="1"/>
  <c r="Q235"/>
  <c r="Q127"/>
  <c r="S127" s="1"/>
  <c r="Q79"/>
  <c r="S79" s="1"/>
  <c r="R151"/>
  <c r="Q300"/>
  <c r="S300" s="1"/>
  <c r="Q288"/>
  <c r="S288" s="1"/>
  <c r="Q276"/>
  <c r="S276" s="1"/>
  <c r="Q264"/>
  <c r="S264" s="1"/>
  <c r="Q252"/>
  <c r="Q240"/>
  <c r="Q228"/>
  <c r="S228" s="1"/>
  <c r="Q216"/>
  <c r="S216" s="1"/>
  <c r="Q204"/>
  <c r="S204" s="1"/>
  <c r="Q192"/>
  <c r="S192" s="1"/>
  <c r="Q180"/>
  <c r="Q168"/>
  <c r="Q156"/>
  <c r="Q144"/>
  <c r="Q132"/>
  <c r="Q120"/>
  <c r="Q108"/>
  <c r="Q96"/>
  <c r="S96" s="1"/>
  <c r="Q84"/>
  <c r="Q72"/>
  <c r="S72" s="1"/>
  <c r="Q60"/>
  <c r="Q48"/>
  <c r="Q36"/>
  <c r="Q24"/>
  <c r="Q12"/>
  <c r="Q148"/>
  <c r="R88"/>
  <c r="Q301"/>
  <c r="S301" s="1"/>
  <c r="Q289"/>
  <c r="S289" s="1"/>
  <c r="Q277"/>
  <c r="Q265"/>
  <c r="S265" s="1"/>
  <c r="Q253"/>
  <c r="S253" s="1"/>
  <c r="Q241"/>
  <c r="Q229"/>
  <c r="Q217"/>
  <c r="Q205"/>
  <c r="Q193"/>
  <c r="S193" s="1"/>
  <c r="Q181"/>
  <c r="Q169"/>
  <c r="Q157"/>
  <c r="S157" s="1"/>
  <c r="Q145"/>
  <c r="S145" s="1"/>
  <c r="Q133"/>
  <c r="Q121"/>
  <c r="Q109"/>
  <c r="Q97"/>
  <c r="Q85"/>
  <c r="Q73"/>
  <c r="Q61"/>
  <c r="Q49"/>
  <c r="S49" s="1"/>
  <c r="Q37"/>
  <c r="Q25"/>
  <c r="Q13"/>
  <c r="Q183"/>
  <c r="S183" s="1"/>
  <c r="Q43"/>
  <c r="S43" s="1"/>
  <c r="Q290"/>
  <c r="S290" s="1"/>
  <c r="Q278"/>
  <c r="S278" s="1"/>
  <c r="Q266"/>
  <c r="S266" s="1"/>
  <c r="Q254"/>
  <c r="S254" s="1"/>
  <c r="Q242"/>
  <c r="Q230"/>
  <c r="Q218"/>
  <c r="S218" s="1"/>
  <c r="Q206"/>
  <c r="S206" s="1"/>
  <c r="Q194"/>
  <c r="Q182"/>
  <c r="Q170"/>
  <c r="S170" s="1"/>
  <c r="Q158"/>
  <c r="S158" s="1"/>
  <c r="Q146"/>
  <c r="Q134"/>
  <c r="S134" s="1"/>
  <c r="Q122"/>
  <c r="Q110"/>
  <c r="S110" s="1"/>
  <c r="Q98"/>
  <c r="Q86"/>
  <c r="S86" s="1"/>
  <c r="Q74"/>
  <c r="Q62"/>
  <c r="Q50"/>
  <c r="Q38"/>
  <c r="S38" s="1"/>
  <c r="Q26"/>
  <c r="S26" s="1"/>
  <c r="Q14"/>
  <c r="S4" l="1"/>
  <c r="S155"/>
  <c r="S223"/>
  <c r="S294"/>
  <c r="S88"/>
  <c r="S257"/>
  <c r="S94"/>
  <c r="S176"/>
  <c r="S92"/>
  <c r="S221"/>
  <c r="S149"/>
  <c r="S235"/>
  <c r="S197"/>
  <c r="S124"/>
  <c r="S273"/>
  <c r="S247"/>
  <c r="S29"/>
  <c r="S15"/>
  <c r="S175"/>
  <c r="S51"/>
  <c r="S168"/>
  <c r="S296"/>
  <c r="S161"/>
  <c r="S209"/>
  <c r="S252"/>
  <c r="S10"/>
  <c r="S132"/>
  <c r="S191"/>
  <c r="S151"/>
  <c r="S23"/>
  <c r="S143"/>
  <c r="S248"/>
  <c r="S103"/>
  <c r="S162"/>
  <c r="S148"/>
  <c r="S109"/>
  <c r="S74"/>
  <c r="S73"/>
  <c r="S219"/>
  <c r="S236"/>
  <c r="S212"/>
  <c r="S200"/>
  <c r="S159"/>
  <c r="S119"/>
  <c r="S171"/>
  <c r="S188"/>
  <c r="S139"/>
  <c r="S8"/>
  <c r="S164"/>
  <c r="S126"/>
  <c r="S5"/>
  <c r="S180"/>
  <c r="S55"/>
  <c r="S244"/>
  <c r="S108"/>
  <c r="S63"/>
  <c r="S196"/>
  <c r="S102"/>
  <c r="S31"/>
  <c r="S172"/>
  <c r="S275"/>
  <c r="S112"/>
  <c r="S17"/>
  <c r="S293"/>
  <c r="S156"/>
  <c r="S11"/>
  <c r="S40"/>
  <c r="S194"/>
  <c r="S138"/>
  <c r="S146"/>
  <c r="S111"/>
  <c r="S234"/>
  <c r="S215"/>
  <c r="S78"/>
  <c r="S64"/>
  <c r="S66"/>
  <c r="S245"/>
  <c r="S280"/>
  <c r="S232"/>
  <c r="S84"/>
  <c r="S59"/>
  <c r="S97"/>
  <c r="S37"/>
  <c r="S116"/>
  <c r="S246"/>
  <c r="S44"/>
  <c r="S90"/>
  <c r="S75"/>
  <c r="S207"/>
  <c r="S24"/>
  <c r="S277"/>
  <c r="S28"/>
  <c r="S240"/>
  <c r="S283"/>
  <c r="S229"/>
  <c r="S54"/>
  <c r="S198"/>
  <c r="S233"/>
  <c r="S50"/>
  <c r="S169"/>
  <c r="S208"/>
  <c r="S122"/>
  <c r="S95"/>
  <c r="S85"/>
  <c r="S61"/>
  <c r="S128"/>
  <c r="S144"/>
  <c r="S71"/>
  <c r="S269"/>
  <c r="S60"/>
  <c r="S30"/>
  <c r="S48"/>
  <c r="S222"/>
  <c r="S98"/>
  <c r="S9"/>
  <c r="S242"/>
  <c r="S284"/>
  <c r="S182"/>
  <c r="S203"/>
  <c r="S271"/>
  <c r="S281"/>
  <c r="S42"/>
  <c r="S186"/>
  <c r="S121"/>
  <c r="S160"/>
  <c r="S62"/>
  <c r="S230"/>
  <c r="S133"/>
  <c r="S36"/>
  <c r="S47"/>
  <c r="S19"/>
  <c r="S241"/>
  <c r="S205"/>
  <c r="S120"/>
  <c r="S6"/>
  <c r="S167"/>
  <c r="S210"/>
  <c r="S27"/>
  <c r="S22"/>
  <c r="S217"/>
  <c r="S181"/>
  <c r="S25"/>
  <c r="S3"/>
  <c r="S14"/>
  <c r="S13"/>
  <c r="S18"/>
  <c r="S12"/>
</calcChain>
</file>

<file path=xl/sharedStrings.xml><?xml version="1.0" encoding="utf-8"?>
<sst xmlns="http://schemas.openxmlformats.org/spreadsheetml/2006/main" count="4857" uniqueCount="429">
  <si>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</si>
  <si>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</si>
  <si>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</si>
  <si>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</si>
  <si>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</si>
  <si>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</si>
  <si>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</si>
  <si>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</si>
  <si>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</si>
  <si>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</si>
  <si>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</si>
  <si>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</si>
  <si>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</si>
  <si>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</si>
  <si>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</si>
  <si>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</si>
  <si>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</si>
  <si>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CybertruckLaunch</t>
  </si>
  <si>
    <t>P002</t>
  </si>
  <si>
    <t>Text</t>
  </si>
  <si>
    <t>Check out our latest text on twitter!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</si>
  <si>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</si>
  <si>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</si>
  <si>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</si>
  <si>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</si>
  <si>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</si>
  <si>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</si>
  <si>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</si>
  <si>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</si>
  <si>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</si>
  <si>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</si>
  <si>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</si>
  <si>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</si>
  <si>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</si>
  <si>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</si>
  <si>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</si>
  <si>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</si>
  <si>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</si>
  <si>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</si>
  <si>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</si>
  <si>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</si>
  <si>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</si>
  <si>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</si>
  <si>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</si>
  <si>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</si>
  <si>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</si>
  <si>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</si>
  <si>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</si>
  <si>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</si>
  <si>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</si>
  <si>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</si>
  <si>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</si>
  <si>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</si>
  <si>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</si>
  <si>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</si>
  <si>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</si>
  <si>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</si>
  <si>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</si>
  <si>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</si>
  <si>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</si>
  <si>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</si>
  <si>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</si>
  <si>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</si>
  <si>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</si>
  <si>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</si>
  <si>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</si>
  <si>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</si>
  <si>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</si>
  <si>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</si>
  <si>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</si>
  <si>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</si>
  <si>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</si>
  <si>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</si>
  <si>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</si>
  <si>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</si>
  <si>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</si>
  <si>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</si>
  <si>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</si>
  <si>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</si>
  <si>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</si>
  <si>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</si>
  <si>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</si>
  <si>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</si>
  <si>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</si>
  <si>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</si>
  <si>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</si>
  <si>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</si>
  <si>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</si>
  <si>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</si>
  <si>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</si>
  <si>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</si>
  <si>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</si>
  <si>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</si>
  <si>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</si>
  <si>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</si>
  <si>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</si>
  <si>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</si>
  <si>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</si>
  <si>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</si>
  <si>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</si>
  <si>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</si>
  <si>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</si>
  <si>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</si>
  <si>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</si>
  <si>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</si>
  <si>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</si>
  <si>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</si>
  <si>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</si>
  <si>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</si>
  <si>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</si>
  <si>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</si>
  <si>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</si>
  <si>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</si>
  <si>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</si>
  <si>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</si>
  <si>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</si>
  <si>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</si>
  <si>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</si>
  <si>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</si>
  <si>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</si>
  <si>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</si>
  <si>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</si>
  <si>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</si>
  <si>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</si>
  <si>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</si>
  <si>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</si>
  <si>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</si>
  <si>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</si>
  <si>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</si>
  <si>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</si>
  <si>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</si>
  <si>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</si>
  <si>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</si>
  <si>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</si>
  <si>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</si>
  <si>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</si>
  <si>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</si>
  <si>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</si>
  <si>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</si>
  <si>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</si>
  <si>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</si>
  <si>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</si>
  <si>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</si>
  <si>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</si>
  <si>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</si>
  <si>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2025-01-10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</si>
  <si>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</si>
  <si>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</si>
  <si>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</si>
  <si>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</si>
  <si>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</si>
  <si>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</si>
  <si>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</si>
  <si>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</si>
  <si>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</si>
  <si>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</si>
  <si>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</si>
  <si>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</si>
  <si>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</si>
  <si>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</si>
  <si>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</si>
  <si>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</si>
  <si>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</si>
  <si>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</si>
  <si>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</si>
  <si>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</si>
  <si>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</si>
  <si>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</si>
  <si>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</si>
  <si>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</si>
  <si>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</si>
  <si>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</si>
  <si>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</si>
  <si>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</si>
  <si>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</si>
  <si>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</si>
  <si>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</si>
  <si>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</si>
  <si>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</si>
  <si>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</si>
  <si>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</si>
  <si>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</si>
  <si>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</si>
  <si>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</si>
  <si>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</si>
  <si>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</si>
  <si>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</si>
  <si>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</si>
  <si>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</si>
  <si>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</si>
  <si>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</si>
  <si>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</si>
  <si>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</si>
  <si>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</si>
  <si>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</si>
  <si>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</si>
  <si>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</si>
  <si>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2024-07-15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</si>
  <si>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</si>
  <si>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</si>
  <si>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</si>
  <si>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</si>
  <si>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</si>
  <si>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</si>
  <si>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</si>
  <si>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</si>
  <si>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</si>
  <si>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</si>
  <si>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</si>
  <si>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</si>
  <si>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</si>
  <si>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</si>
  <si>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</si>
  <si>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</si>
  <si>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</si>
  <si>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</si>
  <si>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</si>
  <si>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</si>
  <si>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</si>
  <si>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</si>
  <si>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</si>
  <si>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</si>
  <si>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</si>
  <si>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</si>
  <si>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</si>
  <si>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</si>
  <si>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</si>
  <si>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</si>
  <si>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</si>
  <si>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</si>
  <si>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</si>
  <si>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</si>
  <si>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</si>
  <si>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</si>
  <si>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</si>
  <si>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</si>
  <si>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</si>
  <si>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</si>
  <si>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</si>
  <si>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</si>
  <si>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</si>
  <si>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</si>
  <si>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</si>
  <si>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</si>
  <si>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</si>
  <si>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</si>
  <si>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</si>
  <si>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</si>
  <si>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</si>
  <si>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</si>
  <si>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</si>
  <si>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</si>
  <si>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</si>
  <si>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</si>
  <si>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</si>
  <si>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</si>
  <si>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</si>
  <si>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</si>
  <si>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</si>
  <si>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</si>
  <si>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</si>
  <si>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</si>
  <si>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</si>
  <si>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</si>
  <si>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</si>
  <si>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</si>
  <si>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</si>
  <si>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</si>
  <si>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</si>
  <si>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</si>
  <si>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</si>
  <si>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</si>
  <si>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</si>
  <si>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</si>
  <si>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</si>
  <si>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</si>
  <si>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</si>
  <si>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</si>
  <si>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</si>
  <si>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</si>
  <si>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</si>
  <si>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</si>
  <si>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</si>
  <si>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</si>
  <si>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</si>
  <si>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</si>
  <si>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</si>
  <si>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</si>
  <si>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</si>
  <si>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</si>
  <si>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</si>
  <si>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</si>
  <si>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</si>
  <si>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</si>
  <si>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</si>
  <si>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</si>
  <si>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</si>
  <si>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</si>
  <si>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</si>
  <si>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</si>
  <si>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</si>
  <si>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</si>
  <si>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</si>
  <si>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</si>
  <si>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</si>
  <si>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</si>
  <si>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</si>
  <si>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</si>
  <si>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</si>
  <si>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</si>
  <si>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</si>
  <si>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</si>
  <si>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</si>
  <si>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</si>
  <si>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</si>
  <si>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</si>
  <si>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</si>
  <si>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</si>
  <si>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</si>
  <si>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</si>
  <si>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</si>
  <si>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</si>
  <si>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</si>
  <si>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</si>
  <si>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</si>
  <si>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</si>
  <si>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</si>
  <si>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</si>
  <si>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</si>
  <si>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</si>
  <si>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</si>
  <si>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</si>
  <si>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</si>
  <si>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</si>
  <si>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</si>
  <si>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</si>
  <si>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</si>
  <si>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</si>
  <si>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</si>
  <si>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</si>
  <si>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</si>
  <si>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</si>
  <si>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</si>
  <si>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</si>
  <si>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</si>
  <si>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</si>
  <si>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</si>
  <si>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</si>
  <si>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</si>
  <si>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</si>
  <si>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</si>
  <si>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</si>
  <si>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</si>
  <si>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</si>
  <si>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</si>
  <si>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</si>
  <si>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</si>
  <si>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</si>
  <si>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</si>
  <si>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</si>
  <si>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</si>
  <si>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</si>
  <si>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</si>
  <si>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</si>
  <si>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2025-03-31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</si>
  <si>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</si>
  <si>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</si>
  <si>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</si>
  <si>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</si>
  <si>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</si>
  <si>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</si>
  <si>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</si>
  <si>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</si>
  <si>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</si>
  <si>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</si>
  <si>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</si>
  <si>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</si>
  <si>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</si>
  <si>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</si>
  <si>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</si>
  <si>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</si>
  <si>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</si>
  <si>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</si>
  <si>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</si>
  <si>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</si>
  <si>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</si>
  <si>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#AnytimeIsTeslaTime</t>
  </si>
  <si>
    <t>#BetterWithTesla</t>
  </si>
  <si>
    <t>(blank)</t>
  </si>
  <si>
    <t>Grand Total</t>
  </si>
  <si>
    <t>Average of Clicks</t>
  </si>
  <si>
    <t>Column Labels</t>
  </si>
  <si>
    <t>Sum of Likes</t>
  </si>
  <si>
    <t>Total Sum of Likes</t>
  </si>
  <si>
    <t>Sum of Shares</t>
  </si>
  <si>
    <t>Total Sum of Shares</t>
  </si>
  <si>
    <t>Sum of Comments</t>
  </si>
  <si>
    <t>Total Sum of Comments</t>
  </si>
  <si>
    <t>Values</t>
  </si>
  <si>
    <t>Count of Engagement Rate</t>
  </si>
  <si>
    <t>Average of Engagement Rate</t>
  </si>
  <si>
    <t>Follower_Growth_Rate</t>
  </si>
  <si>
    <t>Average of Follower_Growth_Rate</t>
  </si>
  <si>
    <t>Sum of Ad_Spend</t>
  </si>
  <si>
    <t>Count of Hashtags Used</t>
  </si>
  <si>
    <t>Count of Hashtags Used2</t>
  </si>
  <si>
    <t>Count of Hashtags Used3</t>
  </si>
  <si>
    <t>Sum of Impressions</t>
  </si>
  <si>
    <t>Sum of Clicks</t>
  </si>
  <si>
    <t>Average of Likes</t>
  </si>
  <si>
    <t>Average of Impressions</t>
  </si>
  <si>
    <t>Engagement</t>
  </si>
  <si>
    <t>Sum of Engagement</t>
  </si>
  <si>
    <t>Average of Followers_Gain</t>
  </si>
  <si>
    <t>Column1</t>
  </si>
  <si>
    <t>ROI</t>
  </si>
  <si>
    <t>NA</t>
  </si>
  <si>
    <t>Period</t>
  </si>
  <si>
    <t>AVG_Before</t>
  </si>
  <si>
    <t>AVG_During</t>
  </si>
  <si>
    <t>Average of ROI</t>
  </si>
  <si>
    <t>Sum of Follower_Growth_Rate</t>
  </si>
  <si>
    <t>Week_start_Date</t>
  </si>
  <si>
    <t>Net_Followers</t>
  </si>
  <si>
    <t>Hashtags Used2</t>
  </si>
  <si>
    <t>Hashtags Used3</t>
  </si>
  <si>
    <t>Week_Start_Date2</t>
  </si>
  <si>
    <t xml:space="preserve"> Uplift%</t>
  </si>
  <si>
    <r>
      <rPr>
        <b/>
        <sz val="11"/>
        <color theme="1"/>
        <rFont val="Calibri"/>
        <family val="2"/>
        <scheme val="minor"/>
      </rPr>
      <t>Project Video Link</t>
    </r>
    <r>
      <rPr>
        <sz val="11"/>
        <color theme="1"/>
        <rFont val="Calibri"/>
        <scheme val="minor"/>
      </rPr>
      <t xml:space="preserve"> : https://drive.google.com/file/d/15Odt2I0_4xsa_THDe3CgpN5BrbHSeMrs/view?usp=sharing</t>
    </r>
  </si>
</sst>
</file>

<file path=xl/styles.xml><?xml version="1.0" encoding="utf-8"?>
<styleSheet xmlns="http://schemas.openxmlformats.org/spreadsheetml/2006/main">
  <numFmts count="2">
    <numFmt numFmtId="164" formatCode="[$-14009]dd/mm/yy;@"/>
    <numFmt numFmtId="165" formatCode="[$-F800]dddd\,\ mmmm\ dd\,\ yyyy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3" fontId="4" fillId="0" borderId="0" xfId="0" applyNumberFormat="1" applyFont="1"/>
    <xf numFmtId="14" fontId="3" fillId="0" borderId="1" xfId="0" applyNumberFormat="1" applyFont="1" applyBorder="1" applyAlignment="1">
      <alignment horizontal="center" vertical="top"/>
    </xf>
    <xf numFmtId="14" fontId="4" fillId="0" borderId="0" xfId="0" applyNumberFormat="1" applyFo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5" fillId="0" borderId="2" xfId="0" applyFont="1" applyFill="1" applyBorder="1" applyAlignment="1">
      <alignment horizontal="center" vertical="top"/>
    </xf>
    <xf numFmtId="2" fontId="0" fillId="0" borderId="0" xfId="0" applyNumberFormat="1" applyFont="1" applyAlignment="1"/>
    <xf numFmtId="2" fontId="2" fillId="0" borderId="0" xfId="0" applyNumberFormat="1" applyFont="1" applyAlignment="1"/>
    <xf numFmtId="0" fontId="0" fillId="0" borderId="0" xfId="0" applyFont="1" applyAlignment="1">
      <alignment horizontal="left" indent="1"/>
    </xf>
    <xf numFmtId="0" fontId="0" fillId="3" borderId="0" xfId="0" applyFont="1" applyFill="1" applyAlignment="1">
      <alignment horizontal="left"/>
    </xf>
    <xf numFmtId="2" fontId="0" fillId="3" borderId="0" xfId="0" applyNumberFormat="1" applyFont="1" applyFill="1" applyAlignment="1"/>
    <xf numFmtId="0" fontId="0" fillId="2" borderId="0" xfId="0" applyFont="1" applyFill="1" applyAlignment="1">
      <alignment horizontal="left"/>
    </xf>
    <xf numFmtId="0" fontId="0" fillId="2" borderId="0" xfId="0" applyNumberFormat="1" applyFont="1" applyFill="1" applyAlignment="1"/>
    <xf numFmtId="0" fontId="5" fillId="0" borderId="1" xfId="0" applyFont="1" applyBorder="1" applyAlignment="1">
      <alignment horizontal="center" vertical="top"/>
    </xf>
    <xf numFmtId="2" fontId="4" fillId="0" borderId="0" xfId="0" applyNumberFormat="1" applyFont="1"/>
    <xf numFmtId="0" fontId="0" fillId="4" borderId="0" xfId="0" applyFont="1" applyFill="1" applyAlignment="1">
      <alignment horizontal="left"/>
    </xf>
    <xf numFmtId="2" fontId="0" fillId="4" borderId="0" xfId="0" applyNumberFormat="1" applyFont="1" applyFill="1" applyAlignment="1"/>
    <xf numFmtId="0" fontId="0" fillId="5" borderId="0" xfId="0" applyFont="1" applyFill="1" applyAlignment="1">
      <alignment horizontal="left"/>
    </xf>
    <xf numFmtId="0" fontId="0" fillId="5" borderId="0" xfId="0" applyNumberFormat="1" applyFont="1" applyFill="1" applyAlignment="1"/>
    <xf numFmtId="2" fontId="0" fillId="5" borderId="0" xfId="0" applyNumberFormat="1" applyFont="1" applyFill="1" applyAlignment="1"/>
    <xf numFmtId="14" fontId="4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left"/>
    </xf>
    <xf numFmtId="0" fontId="0" fillId="0" borderId="0" xfId="0" applyFill="1" applyBorder="1" applyAlignment="1"/>
    <xf numFmtId="0" fontId="6" fillId="0" borderId="3" xfId="0" applyFont="1" applyFill="1" applyBorder="1" applyAlignment="1">
      <alignment horizontal="center"/>
    </xf>
    <xf numFmtId="164" fontId="0" fillId="0" borderId="0" xfId="0" applyNumberFormat="1" applyFont="1" applyAlignment="1"/>
    <xf numFmtId="165" fontId="4" fillId="0" borderId="0" xfId="0" applyNumberFormat="1" applyFont="1"/>
    <xf numFmtId="0" fontId="4" fillId="0" borderId="0" xfId="0" applyFont="1" applyFill="1" applyBorder="1"/>
    <xf numFmtId="0" fontId="3" fillId="0" borderId="2" xfId="0" applyFont="1" applyFill="1" applyBorder="1" applyAlignment="1">
      <alignment horizontal="center" vertical="top"/>
    </xf>
    <xf numFmtId="10" fontId="3" fillId="0" borderId="2" xfId="0" applyNumberFormat="1" applyFont="1" applyFill="1" applyBorder="1" applyAlignment="1">
      <alignment horizontal="center" vertical="top"/>
    </xf>
    <xf numFmtId="10" fontId="0" fillId="0" borderId="0" xfId="0" applyNumberFormat="1" applyFont="1" applyAlignment="1"/>
    <xf numFmtId="2" fontId="3" fillId="0" borderId="2" xfId="0" applyNumberFormat="1" applyFont="1" applyFill="1" applyBorder="1" applyAlignment="1">
      <alignment horizontal="center" vertical="top"/>
    </xf>
    <xf numFmtId="0" fontId="0" fillId="6" borderId="0" xfId="0" applyFont="1" applyFill="1" applyAlignment="1">
      <alignment horizontal="left"/>
    </xf>
    <xf numFmtId="2" fontId="0" fillId="6" borderId="0" xfId="0" applyNumberFormat="1" applyFont="1" applyFill="1" applyAlignment="1"/>
    <xf numFmtId="0" fontId="0" fillId="7" borderId="0" xfId="0" applyFont="1" applyFill="1" applyAlignment="1">
      <alignment horizontal="left"/>
    </xf>
    <xf numFmtId="2" fontId="0" fillId="7" borderId="0" xfId="0" applyNumberFormat="1" applyFont="1" applyFill="1" applyAlignment="1"/>
    <xf numFmtId="14" fontId="0" fillId="8" borderId="0" xfId="0" applyNumberFormat="1" applyFont="1" applyFill="1" applyAlignment="1">
      <alignment horizontal="left"/>
    </xf>
    <xf numFmtId="2" fontId="0" fillId="8" borderId="0" xfId="0" applyNumberFormat="1" applyFont="1" applyFill="1" applyAlignment="1"/>
    <xf numFmtId="0" fontId="3" fillId="0" borderId="4" xfId="0" applyFont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3">
    <dxf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2" formatCode="0.0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relativeIndent="0" justifyLastLine="0" shrinkToFit="0" mergeCell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pivotCacheDefinition" Target="pivotCache/pivotCacheDefinition1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3.1!PivotTable8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Followers</a:t>
            </a:r>
            <a:r>
              <a:rPr lang="en-US" baseline="0"/>
              <a:t> Growth Rate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'Task 3.1'!$B$3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'Task 3.1'!$A$4:$A$8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3.1'!$B$4:$B$8</c:f>
              <c:numCache>
                <c:formatCode>0.00</c:formatCode>
                <c:ptCount val="4"/>
                <c:pt idx="0">
                  <c:v>0.54649906832972628</c:v>
                </c:pt>
                <c:pt idx="1">
                  <c:v>0.57625321264951812</c:v>
                </c:pt>
                <c:pt idx="2">
                  <c:v>0.92800256766213385</c:v>
                </c:pt>
                <c:pt idx="3">
                  <c:v>0.90210666313360066</c:v>
                </c:pt>
              </c:numCache>
            </c:numRef>
          </c:val>
        </c:ser>
        <c:overlap val="100"/>
        <c:axId val="169580416"/>
        <c:axId val="169581952"/>
      </c:barChart>
      <c:catAx>
        <c:axId val="169580416"/>
        <c:scaling>
          <c:orientation val="minMax"/>
        </c:scaling>
        <c:axPos val="b"/>
        <c:tickLblPos val="nextTo"/>
        <c:crossAx val="169581952"/>
        <c:crosses val="autoZero"/>
        <c:auto val="1"/>
        <c:lblAlgn val="ctr"/>
        <c:lblOffset val="100"/>
      </c:catAx>
      <c:valAx>
        <c:axId val="169581952"/>
        <c:scaling>
          <c:orientation val="minMax"/>
        </c:scaling>
        <c:axPos val="l"/>
        <c:majorGridlines/>
        <c:numFmt formatCode="0.00" sourceLinked="1"/>
        <c:tickLblPos val="nextTo"/>
        <c:crossAx val="1695804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3.2!PivotTable2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'Task 3.2'!$B$3:$B$4</c:f>
              <c:strCache>
                <c:ptCount val="1"/>
                <c:pt idx="0">
                  <c:v>Sum of Engagement</c:v>
                </c:pt>
              </c:strCache>
            </c:strRef>
          </c:tx>
          <c:cat>
            <c:strRef>
              <c:f>'Task 3.2'!$A$5:$A$10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3.2'!$B$5:$B$10</c:f>
              <c:numCache>
                <c:formatCode>General</c:formatCode>
                <c:ptCount val="5"/>
                <c:pt idx="0">
                  <c:v>28243</c:v>
                </c:pt>
                <c:pt idx="1">
                  <c:v>28578</c:v>
                </c:pt>
                <c:pt idx="2">
                  <c:v>28279</c:v>
                </c:pt>
                <c:pt idx="3">
                  <c:v>27794</c:v>
                </c:pt>
              </c:numCache>
            </c:numRef>
          </c:val>
        </c:ser>
        <c:axId val="171000960"/>
        <c:axId val="171002496"/>
      </c:barChart>
      <c:lineChart>
        <c:grouping val="standard"/>
        <c:ser>
          <c:idx val="1"/>
          <c:order val="1"/>
          <c:tx>
            <c:strRef>
              <c:f>'Task 3.2'!$C$3:$C$4</c:f>
              <c:strCache>
                <c:ptCount val="1"/>
                <c:pt idx="0">
                  <c:v>Sum of Ad_Spend</c:v>
                </c:pt>
              </c:strCache>
            </c:strRef>
          </c:tx>
          <c:marker>
            <c:symbol val="none"/>
          </c:marker>
          <c:cat>
            <c:strRef>
              <c:f>'Task 3.2'!$A$5:$A$10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3.2'!$C$5:$C$10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</c:ser>
        <c:marker val="1"/>
        <c:axId val="171000960"/>
        <c:axId val="171002496"/>
      </c:lineChart>
      <c:catAx>
        <c:axId val="171000960"/>
        <c:scaling>
          <c:orientation val="minMax"/>
        </c:scaling>
        <c:axPos val="b"/>
        <c:tickLblPos val="nextTo"/>
        <c:crossAx val="171002496"/>
        <c:crosses val="autoZero"/>
        <c:auto val="1"/>
        <c:lblAlgn val="ctr"/>
        <c:lblOffset val="100"/>
      </c:catAx>
      <c:valAx>
        <c:axId val="171002496"/>
        <c:scaling>
          <c:orientation val="minMax"/>
        </c:scaling>
        <c:axPos val="l"/>
        <c:majorGridlines/>
        <c:numFmt formatCode="General" sourceLinked="1"/>
        <c:tickLblPos val="nextTo"/>
        <c:crossAx val="1710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497416041882495"/>
          <c:y val="0.45139001778003557"/>
          <c:w val="0.21502583958117502"/>
          <c:h val="9.7219964439928849E-2"/>
        </c:manualLayout>
      </c:layout>
    </c:legend>
    <c:plotVisOnly val="1"/>
    <c:dispBlanksAs val="gap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4.1!PivotTable2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/>
              <a:t>Performance Comparison of Tesla Hashtags</a:t>
            </a:r>
            <a:endParaRPr lang="en-US" sz="1400"/>
          </a:p>
        </c:rich>
      </c:tx>
    </c:title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dLblPos val="r"/>
          <c:showVal val="1"/>
          <c:showSerName val="1"/>
        </c:dLbl>
      </c:pivotFmt>
    </c:pivotFmts>
    <c:plotArea>
      <c:layout>
        <c:manualLayout>
          <c:layoutTarget val="inner"/>
          <c:xMode val="edge"/>
          <c:yMode val="edge"/>
          <c:x val="0.13115529308836396"/>
          <c:y val="0.17165536599591719"/>
          <c:w val="0.80495581802274763"/>
          <c:h val="0.21273476232137684"/>
        </c:manualLayout>
      </c:layout>
      <c:lineChart>
        <c:grouping val="standard"/>
        <c:ser>
          <c:idx val="0"/>
          <c:order val="0"/>
          <c:tx>
            <c:strRef>
              <c:f>'Task 4.1'!$B$3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dLbl>
              <c:idx val="16"/>
              <c:dLblPos val="r"/>
              <c:showVal val="1"/>
              <c:showSerName val="1"/>
            </c:dLbl>
            <c:delete val="1"/>
          </c:dLbls>
          <c:cat>
            <c:multiLvlStrRef>
              <c:f>'Task 4.1'!$A$4:$A$25</c:f>
              <c:multiLvlStrCache>
                <c:ptCount val="17"/>
                <c:lvl>
                  <c:pt idx="0">
                    <c:v>#AnytimeIsTeslaTime</c:v>
                  </c:pt>
                  <c:pt idx="1">
                    <c:v>#BetterWithTesla</c:v>
                  </c:pt>
                  <c:pt idx="2">
                    <c:v>#EVRevolution</c:v>
                  </c:pt>
                  <c:pt idx="3">
                    <c:v>#SmoothLikeNitroTesla</c:v>
                  </c:pt>
                  <c:pt idx="4">
                    <c:v>#TeslaCoInnovation</c:v>
                  </c:pt>
                  <c:pt idx="5">
                    <c:v>(blank)</c:v>
                  </c:pt>
                  <c:pt idx="6">
                    <c:v>#AnytimeIsTeslaTime</c:v>
                  </c:pt>
                  <c:pt idx="7">
                    <c:v>#EVRevolution</c:v>
                  </c:pt>
                  <c:pt idx="8">
                    <c:v>#SmoothLikeNitroTesla</c:v>
                  </c:pt>
                  <c:pt idx="9">
                    <c:v>#TeslaCoInnovation</c:v>
                  </c:pt>
                  <c:pt idx="10">
                    <c:v>(blank)</c:v>
                  </c:pt>
                  <c:pt idx="11">
                    <c:v>#AnytimeIsTeslaTime</c:v>
                  </c:pt>
                  <c:pt idx="12">
                    <c:v>#BetterWithTesla</c:v>
                  </c:pt>
                  <c:pt idx="13">
                    <c:v>#EVRevolution</c:v>
                  </c:pt>
                  <c:pt idx="14">
                    <c:v>#SmoothLikeNitroTesla</c:v>
                  </c:pt>
                  <c:pt idx="15">
                    <c:v>(blank)</c:v>
                  </c:pt>
                  <c:pt idx="16">
                    <c:v>(blank)</c:v>
                  </c:pt>
                </c:lvl>
                <c:lvl>
                  <c:pt idx="0">
                    <c:v>#EVRevolution</c:v>
                  </c:pt>
                  <c:pt idx="6">
                    <c:v>#FutureOfDriving</c:v>
                  </c:pt>
                  <c:pt idx="11">
                    <c:v>#TeslaCoInnovation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'Task 4.1'!$B$4:$B$25</c:f>
              <c:numCache>
                <c:formatCode>0.00</c:formatCode>
                <c:ptCount val="17"/>
                <c:pt idx="0">
                  <c:v>0.21636759108210984</c:v>
                </c:pt>
                <c:pt idx="1">
                  <c:v>0.21758378127893035</c:v>
                </c:pt>
                <c:pt idx="2">
                  <c:v>7.9915048543689318E-2</c:v>
                </c:pt>
                <c:pt idx="3">
                  <c:v>0.15571802706241816</c:v>
                </c:pt>
                <c:pt idx="4">
                  <c:v>0.10006593424149061</c:v>
                </c:pt>
                <c:pt idx="5">
                  <c:v>0.15803388512321567</c:v>
                </c:pt>
                <c:pt idx="6">
                  <c:v>0.10098269374570186</c:v>
                </c:pt>
                <c:pt idx="7">
                  <c:v>0.11879910213243547</c:v>
                </c:pt>
                <c:pt idx="8">
                  <c:v>0.11143487163332809</c:v>
                </c:pt>
                <c:pt idx="9">
                  <c:v>0.12922360284534465</c:v>
                </c:pt>
                <c:pt idx="10">
                  <c:v>0.14343254347601042</c:v>
                </c:pt>
                <c:pt idx="11">
                  <c:v>0.10075558839808633</c:v>
                </c:pt>
                <c:pt idx="12">
                  <c:v>7.6097681302417369E-2</c:v>
                </c:pt>
                <c:pt idx="13">
                  <c:v>8.5646116732348052E-2</c:v>
                </c:pt>
                <c:pt idx="14">
                  <c:v>0.10231159494757243</c:v>
                </c:pt>
                <c:pt idx="15">
                  <c:v>0.15376804996790311</c:v>
                </c:pt>
              </c:numCache>
            </c:numRef>
          </c:val>
        </c:ser>
        <c:marker val="1"/>
        <c:axId val="171170432"/>
        <c:axId val="171184512"/>
      </c:lineChart>
      <c:catAx>
        <c:axId val="171170432"/>
        <c:scaling>
          <c:orientation val="minMax"/>
        </c:scaling>
        <c:axPos val="b"/>
        <c:majorTickMark val="none"/>
        <c:tickLblPos val="nextTo"/>
        <c:crossAx val="171184512"/>
        <c:crosses val="autoZero"/>
        <c:auto val="1"/>
        <c:lblAlgn val="ctr"/>
        <c:lblOffset val="100"/>
      </c:catAx>
      <c:valAx>
        <c:axId val="1711845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Engagement</a:t>
                </a:r>
                <a:r>
                  <a:rPr lang="en-US" baseline="0"/>
                  <a:t> Rate</a:t>
                </a:r>
              </a:p>
            </c:rich>
          </c:tx>
          <c:layout>
            <c:manualLayout>
              <c:xMode val="edge"/>
              <c:yMode val="edge"/>
              <c:x val="2.7777777777777901E-2"/>
              <c:y val="0.45922645086030911"/>
            </c:manualLayout>
          </c:layout>
        </c:title>
        <c:numFmt formatCode="0.00" sourceLinked="1"/>
        <c:majorTickMark val="none"/>
        <c:tickLblPos val="nextTo"/>
        <c:crossAx val="171170432"/>
        <c:crosses val="autoZero"/>
        <c:crossBetween val="between"/>
      </c:valAx>
    </c:plotArea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4.2!PivotTable4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/>
              <a:t>Average Engagement per Content Type</a:t>
            </a:r>
            <a:endParaRPr lang="en-US" sz="1400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'Task 4.2'!$B$3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Percent val="1"/>
            <c:showLeaderLines val="1"/>
          </c:dLbls>
          <c:cat>
            <c:strRef>
              <c:f>'Task 4.2'!$A$4:$A$7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'Task 4.2'!$B$4:$B$7</c:f>
              <c:numCache>
                <c:formatCode>0.00</c:formatCode>
                <c:ptCount val="3"/>
                <c:pt idx="0">
                  <c:v>0.14814919934149992</c:v>
                </c:pt>
                <c:pt idx="1">
                  <c:v>0.136874940548697</c:v>
                </c:pt>
                <c:pt idx="2">
                  <c:v>0.14814844474464281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4.3!PivotTable5</c:name>
    <c:fmtId val="3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203881693006195"/>
          <c:y val="0.23001789265652994"/>
          <c:w val="0.70459596015844561"/>
          <c:h val="0.64139593892806313"/>
        </c:manualLayout>
      </c:layout>
      <c:barChart>
        <c:barDir val="col"/>
        <c:grouping val="clustered"/>
        <c:ser>
          <c:idx val="0"/>
          <c:order val="0"/>
          <c:tx>
            <c:strRef>
              <c:f>'Task 4.3'!$B$3:$B$4</c:f>
              <c:strCache>
                <c:ptCount val="1"/>
                <c:pt idx="0">
                  <c:v>Carousel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4.3'!$B$5:$B$10</c:f>
              <c:numCache>
                <c:formatCode>0.00</c:formatCode>
                <c:ptCount val="5"/>
                <c:pt idx="0">
                  <c:v>0.11820589815604368</c:v>
                </c:pt>
                <c:pt idx="1">
                  <c:v>0.14439860032256024</c:v>
                </c:pt>
                <c:pt idx="2">
                  <c:v>0.15972488239914528</c:v>
                </c:pt>
                <c:pt idx="3">
                  <c:v>0.17416554369953544</c:v>
                </c:pt>
              </c:numCache>
            </c:numRef>
          </c:val>
        </c:ser>
        <c:ser>
          <c:idx val="1"/>
          <c:order val="1"/>
          <c:tx>
            <c:strRef>
              <c:f>'Task 4.3'!$C$3:$C$4</c:f>
              <c:strCache>
                <c:ptCount val="1"/>
                <c:pt idx="0">
                  <c:v>Image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4.3'!$C$5:$C$10</c:f>
              <c:numCache>
                <c:formatCode>0.00</c:formatCode>
                <c:ptCount val="5"/>
                <c:pt idx="0">
                  <c:v>0.11892682975133066</c:v>
                </c:pt>
                <c:pt idx="1">
                  <c:v>0.14929862484025289</c:v>
                </c:pt>
                <c:pt idx="2">
                  <c:v>0.14756648191377314</c:v>
                </c:pt>
                <c:pt idx="3">
                  <c:v>0.15035567844671385</c:v>
                </c:pt>
              </c:numCache>
            </c:numRef>
          </c:val>
        </c:ser>
        <c:ser>
          <c:idx val="2"/>
          <c:order val="2"/>
          <c:tx>
            <c:strRef>
              <c:f>'Task 4.3'!$D$3:$D$4</c:f>
              <c:strCache>
                <c:ptCount val="1"/>
                <c:pt idx="0">
                  <c:v>Reel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4.3'!$D$5:$D$10</c:f>
              <c:numCache>
                <c:formatCode>0.00</c:formatCode>
                <c:ptCount val="5"/>
                <c:pt idx="0">
                  <c:v>0.10810248159985612</c:v>
                </c:pt>
                <c:pt idx="1">
                  <c:v>0.26004033206333965</c:v>
                </c:pt>
                <c:pt idx="2">
                  <c:v>0.12428081569427865</c:v>
                </c:pt>
                <c:pt idx="3">
                  <c:v>0.11688583584797579</c:v>
                </c:pt>
              </c:numCache>
            </c:numRef>
          </c:val>
        </c:ser>
        <c:ser>
          <c:idx val="3"/>
          <c:order val="3"/>
          <c:tx>
            <c:strRef>
              <c:f>'Task 4.3'!$E$3:$E$4</c:f>
              <c:strCache>
                <c:ptCount val="1"/>
                <c:pt idx="0">
                  <c:v>Story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4.3'!$E$5:$E$10</c:f>
              <c:numCache>
                <c:formatCode>0.00</c:formatCode>
                <c:ptCount val="5"/>
                <c:pt idx="0">
                  <c:v>0.15898977777988449</c:v>
                </c:pt>
                <c:pt idx="1">
                  <c:v>0.24558274253543638</c:v>
                </c:pt>
                <c:pt idx="2">
                  <c:v>0.18859716943319418</c:v>
                </c:pt>
                <c:pt idx="3">
                  <c:v>9.4965330348360785E-2</c:v>
                </c:pt>
              </c:numCache>
            </c:numRef>
          </c:val>
        </c:ser>
        <c:ser>
          <c:idx val="4"/>
          <c:order val="4"/>
          <c:tx>
            <c:strRef>
              <c:f>'Task 4.3'!$F$3:$F$4</c:f>
              <c:strCache>
                <c:ptCount val="1"/>
                <c:pt idx="0">
                  <c:v>Text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4.3'!$F$5:$F$10</c:f>
              <c:numCache>
                <c:formatCode>0.00</c:formatCode>
                <c:ptCount val="5"/>
                <c:pt idx="0">
                  <c:v>0.10743951285512837</c:v>
                </c:pt>
                <c:pt idx="1">
                  <c:v>0.12920449104190179</c:v>
                </c:pt>
                <c:pt idx="2">
                  <c:v>0.12088972902726508</c:v>
                </c:pt>
                <c:pt idx="3">
                  <c:v>0.11459217612964397</c:v>
                </c:pt>
              </c:numCache>
            </c:numRef>
          </c:val>
        </c:ser>
        <c:ser>
          <c:idx val="5"/>
          <c:order val="5"/>
          <c:tx>
            <c:strRef>
              <c:f>'Task 4.3'!$G$3:$G$4</c:f>
              <c:strCache>
                <c:ptCount val="1"/>
                <c:pt idx="0">
                  <c:v>Video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4.3'!$G$5:$G$10</c:f>
              <c:numCache>
                <c:formatCode>0.00</c:formatCode>
                <c:ptCount val="5"/>
                <c:pt idx="0">
                  <c:v>0.12899653614759149</c:v>
                </c:pt>
                <c:pt idx="1">
                  <c:v>0.2062396061640541</c:v>
                </c:pt>
                <c:pt idx="2">
                  <c:v>0.1198087665867789</c:v>
                </c:pt>
                <c:pt idx="3">
                  <c:v>0.12968338256813228</c:v>
                </c:pt>
              </c:numCache>
            </c:numRef>
          </c:val>
        </c:ser>
        <c:ser>
          <c:idx val="6"/>
          <c:order val="6"/>
          <c:tx>
            <c:strRef>
              <c:f>'Task 4.3'!$H$3:$H$4</c:f>
              <c:strCache>
                <c:ptCount val="1"/>
                <c:pt idx="0">
                  <c:v>(blank)</c:v>
                </c:pt>
              </c:strCache>
            </c:strRef>
          </c:tx>
          <c:cat>
            <c:strRef>
              <c:f>'Task 4.3'!$A$5:$A$10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4.3'!$H$5:$H$10</c:f>
              <c:numCache>
                <c:formatCode>0.00</c:formatCode>
                <c:ptCount val="5"/>
              </c:numCache>
            </c:numRef>
          </c:val>
        </c:ser>
        <c:axId val="171495808"/>
        <c:axId val="171497344"/>
      </c:barChart>
      <c:catAx>
        <c:axId val="171495808"/>
        <c:scaling>
          <c:orientation val="minMax"/>
        </c:scaling>
        <c:axPos val="b"/>
        <c:tickLblPos val="nextTo"/>
        <c:crossAx val="171497344"/>
        <c:crosses val="autoZero"/>
        <c:auto val="1"/>
        <c:lblAlgn val="ctr"/>
        <c:lblOffset val="100"/>
      </c:catAx>
      <c:valAx>
        <c:axId val="171497344"/>
        <c:scaling>
          <c:orientation val="minMax"/>
        </c:scaling>
        <c:axPos val="l"/>
        <c:majorGridlines/>
        <c:numFmt formatCode="0.00" sourceLinked="1"/>
        <c:tickLblPos val="nextTo"/>
        <c:crossAx val="17149580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pivotSource>
    <c:name>[Tesla_Social_Media_Analytics_fin.xlsx]Task 5!PivotTable3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'Task 5'!$B$3:$B$4</c:f>
              <c:strCache>
                <c:ptCount val="1"/>
                <c:pt idx="0">
                  <c:v>Sum of Impressions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5'!$B$5:$B$10</c:f>
              <c:numCache>
                <c:formatCode>General</c:formatCode>
                <c:ptCount val="5"/>
                <c:pt idx="0">
                  <c:v>1846272</c:v>
                </c:pt>
                <c:pt idx="1">
                  <c:v>2266053</c:v>
                </c:pt>
                <c:pt idx="2">
                  <c:v>1986356</c:v>
                </c:pt>
                <c:pt idx="3">
                  <c:v>2464864</c:v>
                </c:pt>
                <c:pt idx="4">
                  <c:v>1830608</c:v>
                </c:pt>
              </c:numCache>
            </c:numRef>
          </c:val>
        </c:ser>
        <c:ser>
          <c:idx val="1"/>
          <c:order val="1"/>
          <c:tx>
            <c:strRef>
              <c:f>'Task 5'!$C$3:$C$4</c:f>
              <c:strCache>
                <c:ptCount val="1"/>
                <c:pt idx="0">
                  <c:v>Average of Impressions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5'!$C$5:$C$10</c:f>
              <c:numCache>
                <c:formatCode>0.00</c:formatCode>
                <c:ptCount val="5"/>
                <c:pt idx="0">
                  <c:v>38464</c:v>
                </c:pt>
                <c:pt idx="1">
                  <c:v>33821.686567164179</c:v>
                </c:pt>
                <c:pt idx="2">
                  <c:v>34247.517241379312</c:v>
                </c:pt>
                <c:pt idx="3">
                  <c:v>34716.394366197186</c:v>
                </c:pt>
                <c:pt idx="4">
                  <c:v>32689.428571428572</c:v>
                </c:pt>
              </c:numCache>
            </c:numRef>
          </c:val>
        </c:ser>
        <c:ser>
          <c:idx val="2"/>
          <c:order val="2"/>
          <c:tx>
            <c:strRef>
              <c:f>'Task 5'!$D$3:$D$4</c:f>
              <c:strCache>
                <c:ptCount val="1"/>
                <c:pt idx="0">
                  <c:v>Sum of Likes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5'!$D$5:$D$10</c:f>
              <c:numCache>
                <c:formatCode>General</c:formatCode>
                <c:ptCount val="5"/>
                <c:pt idx="0">
                  <c:v>138793</c:v>
                </c:pt>
                <c:pt idx="1">
                  <c:v>183346</c:v>
                </c:pt>
                <c:pt idx="2">
                  <c:v>159783</c:v>
                </c:pt>
                <c:pt idx="3">
                  <c:v>187909</c:v>
                </c:pt>
                <c:pt idx="4">
                  <c:v>150160</c:v>
                </c:pt>
              </c:numCache>
            </c:numRef>
          </c:val>
        </c:ser>
        <c:ser>
          <c:idx val="3"/>
          <c:order val="3"/>
          <c:tx>
            <c:strRef>
              <c:f>'Task 5'!$E$3:$E$4</c:f>
              <c:strCache>
                <c:ptCount val="1"/>
                <c:pt idx="0">
                  <c:v>Average of Likes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5'!$E$5:$E$10</c:f>
              <c:numCache>
                <c:formatCode>0.00</c:formatCode>
                <c:ptCount val="5"/>
                <c:pt idx="0">
                  <c:v>2891.5208333333335</c:v>
                </c:pt>
                <c:pt idx="1">
                  <c:v>2736.5074626865671</c:v>
                </c:pt>
                <c:pt idx="2">
                  <c:v>2754.8793103448274</c:v>
                </c:pt>
                <c:pt idx="3">
                  <c:v>2646.605633802817</c:v>
                </c:pt>
                <c:pt idx="4">
                  <c:v>2681.4285714285716</c:v>
                </c:pt>
              </c:numCache>
            </c:numRef>
          </c:val>
        </c:ser>
        <c:ser>
          <c:idx val="4"/>
          <c:order val="4"/>
          <c:tx>
            <c:strRef>
              <c:f>'Task 5'!$F$3:$F$4</c:f>
              <c:strCache>
                <c:ptCount val="1"/>
                <c:pt idx="0">
                  <c:v>Sum of Clicks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5'!$F$5:$F$10</c:f>
              <c:numCache>
                <c:formatCode>General</c:formatCode>
                <c:ptCount val="5"/>
                <c:pt idx="0">
                  <c:v>6434</c:v>
                </c:pt>
                <c:pt idx="1">
                  <c:v>10032</c:v>
                </c:pt>
                <c:pt idx="2">
                  <c:v>9872</c:v>
                </c:pt>
                <c:pt idx="3">
                  <c:v>10689</c:v>
                </c:pt>
                <c:pt idx="4">
                  <c:v>8339</c:v>
                </c:pt>
              </c:numCache>
            </c:numRef>
          </c:val>
        </c:ser>
        <c:ser>
          <c:idx val="5"/>
          <c:order val="5"/>
          <c:tx>
            <c:strRef>
              <c:f>'Task 5'!$G$3:$G$4</c:f>
              <c:strCache>
                <c:ptCount val="1"/>
                <c:pt idx="0">
                  <c:v>Average of Clicks</c:v>
                </c:pt>
              </c:strCache>
            </c:strRef>
          </c:tx>
          <c:cat>
            <c:strRef>
              <c:f>'Task 5'!$A$5:$A$10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  <c:pt idx="4">
                  <c:v>(blank)</c:v>
                </c:pt>
              </c:strCache>
            </c:strRef>
          </c:cat>
          <c:val>
            <c:numRef>
              <c:f>'Task 5'!$G$5:$G$10</c:f>
              <c:numCache>
                <c:formatCode>0.00</c:formatCode>
                <c:ptCount val="5"/>
                <c:pt idx="0">
                  <c:v>134.04166666666666</c:v>
                </c:pt>
                <c:pt idx="1">
                  <c:v>149.73134328358208</c:v>
                </c:pt>
                <c:pt idx="2">
                  <c:v>170.20689655172413</c:v>
                </c:pt>
                <c:pt idx="3">
                  <c:v>150.54929577464787</c:v>
                </c:pt>
                <c:pt idx="4">
                  <c:v>148.91071428571428</c:v>
                </c:pt>
              </c:numCache>
            </c:numRef>
          </c:val>
        </c:ser>
        <c:axId val="171685760"/>
        <c:axId val="171687296"/>
      </c:barChart>
      <c:catAx>
        <c:axId val="171685760"/>
        <c:scaling>
          <c:orientation val="minMax"/>
        </c:scaling>
        <c:axPos val="b"/>
        <c:tickLblPos val="nextTo"/>
        <c:crossAx val="171687296"/>
        <c:crosses val="autoZero"/>
        <c:auto val="1"/>
        <c:lblAlgn val="ctr"/>
        <c:lblOffset val="100"/>
      </c:catAx>
      <c:valAx>
        <c:axId val="171687296"/>
        <c:scaling>
          <c:orientation val="minMax"/>
        </c:scaling>
        <c:axPos val="l"/>
        <c:majorGridlines/>
        <c:numFmt formatCode="General" sourceLinked="1"/>
        <c:tickLblPos val="nextTo"/>
        <c:crossAx val="1716857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6!PivotTable1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Weekly</a:t>
            </a:r>
            <a:r>
              <a:rPr lang="en-US" sz="1600" baseline="0"/>
              <a:t> Followers Growth per platform</a:t>
            </a:r>
            <a:endParaRPr lang="en-US" sz="1600"/>
          </a:p>
        </c:rich>
      </c:tx>
    </c:title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dLbl>
          <c:idx val="0"/>
          <c:dLblPos val="r"/>
          <c:showVal val="1"/>
          <c:showSerName val="1"/>
        </c:dLbl>
      </c:pivotFmt>
      <c:pivotFmt>
        <c:idx val="6"/>
        <c:dLbl>
          <c:idx val="0"/>
          <c:dLblPos val="r"/>
          <c:showVal val="1"/>
          <c:showSerName val="1"/>
        </c:dLbl>
      </c:pivotFmt>
      <c:pivotFmt>
        <c:idx val="7"/>
        <c:dLbl>
          <c:idx val="0"/>
          <c:dLblPos val="r"/>
          <c:showVal val="1"/>
          <c:showSerName val="1"/>
        </c:dLbl>
      </c:pivotFmt>
      <c:pivotFmt>
        <c:idx val="8"/>
        <c:dLbl>
          <c:idx val="0"/>
          <c:dLblPos val="r"/>
          <c:showVal val="1"/>
          <c:showSerName val="1"/>
        </c:dLbl>
      </c:pivotFmt>
      <c:pivotFmt>
        <c:idx val="9"/>
        <c:dLbl>
          <c:idx val="0"/>
          <c:dLblPos val="r"/>
          <c:showVal val="1"/>
          <c:showSerName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'Task 6'!$B$3:$B$4</c:f>
              <c:strCache>
                <c:ptCount val="1"/>
                <c:pt idx="0">
                  <c:v>Facebook</c:v>
                </c:pt>
              </c:strCache>
            </c:strRef>
          </c:tx>
          <c:marker>
            <c:symbol val="none"/>
          </c:marker>
          <c:dLbls>
            <c:dLbl>
              <c:idx val="50"/>
              <c:dLblPos val="r"/>
              <c:showVal val="1"/>
              <c:showSerName val="1"/>
            </c:dLbl>
            <c:delete val="1"/>
          </c:dLbls>
          <c:cat>
            <c:strRef>
              <c:f>'Task 6'!$A$5:$A$56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6'!$B$5:$B$56</c:f>
              <c:numCache>
                <c:formatCode>0.00</c:formatCode>
                <c:ptCount val="51"/>
                <c:pt idx="0">
                  <c:v>2.3491348994232664</c:v>
                </c:pt>
                <c:pt idx="1">
                  <c:v>0.40530081660374973</c:v>
                </c:pt>
                <c:pt idx="2">
                  <c:v>0.8153584745362723</c:v>
                </c:pt>
                <c:pt idx="3">
                  <c:v>6.3510173036698996</c:v>
                </c:pt>
                <c:pt idx="4">
                  <c:v>2.9088264703208796E-2</c:v>
                </c:pt>
                <c:pt idx="5">
                  <c:v>0.12276812319721568</c:v>
                </c:pt>
                <c:pt idx="6">
                  <c:v>-4.9009939454794309E-2</c:v>
                </c:pt>
                <c:pt idx="7">
                  <c:v>0.32572737872501967</c:v>
                </c:pt>
                <c:pt idx="8">
                  <c:v>-7.309773488968678E-2</c:v>
                </c:pt>
                <c:pt idx="9">
                  <c:v>-0.15755714445670779</c:v>
                </c:pt>
                <c:pt idx="10">
                  <c:v>0.43366318609156984</c:v>
                </c:pt>
                <c:pt idx="11">
                  <c:v>0.57523759813836151</c:v>
                </c:pt>
                <c:pt idx="12">
                  <c:v>9.7527544941747053E-3</c:v>
                </c:pt>
                <c:pt idx="13">
                  <c:v>0.21026918479944948</c:v>
                </c:pt>
                <c:pt idx="14">
                  <c:v>0.46435400163889645</c:v>
                </c:pt>
                <c:pt idx="15">
                  <c:v>2.0668041724136478E-2</c:v>
                </c:pt>
                <c:pt idx="16">
                  <c:v>-7.924822629956663E-3</c:v>
                </c:pt>
                <c:pt idx="17">
                  <c:v>-3.9477485703195474E-2</c:v>
                </c:pt>
                <c:pt idx="18">
                  <c:v>0.43810281972675247</c:v>
                </c:pt>
                <c:pt idx="19">
                  <c:v>0.18083871090552606</c:v>
                </c:pt>
                <c:pt idx="20">
                  <c:v>1.8687212668142346</c:v>
                </c:pt>
                <c:pt idx="21">
                  <c:v>0.18382090319876945</c:v>
                </c:pt>
                <c:pt idx="22">
                  <c:v>0.16918035252172714</c:v>
                </c:pt>
                <c:pt idx="23">
                  <c:v>-3.4250669665215859E-2</c:v>
                </c:pt>
                <c:pt idx="24">
                  <c:v>2.124852809675163E-2</c:v>
                </c:pt>
                <c:pt idx="25">
                  <c:v>0.39565022381564841</c:v>
                </c:pt>
                <c:pt idx="26">
                  <c:v>0.36277109484146308</c:v>
                </c:pt>
                <c:pt idx="27">
                  <c:v>3.8307014117515763</c:v>
                </c:pt>
                <c:pt idx="28">
                  <c:v>0.33115688467227011</c:v>
                </c:pt>
                <c:pt idx="29">
                  <c:v>0.78202834584935776</c:v>
                </c:pt>
                <c:pt idx="30">
                  <c:v>0.46806929323118035</c:v>
                </c:pt>
                <c:pt idx="31">
                  <c:v>0.64766839378238339</c:v>
                </c:pt>
                <c:pt idx="32">
                  <c:v>0.13262186302564766</c:v>
                </c:pt>
                <c:pt idx="33">
                  <c:v>8.905295209493419E-2</c:v>
                </c:pt>
                <c:pt idx="34">
                  <c:v>0.27948348464241363</c:v>
                </c:pt>
                <c:pt idx="35">
                  <c:v>0.5500525785553031</c:v>
                </c:pt>
                <c:pt idx="36">
                  <c:v>0.29427518601934727</c:v>
                </c:pt>
                <c:pt idx="37">
                  <c:v>1.5147617822744293</c:v>
                </c:pt>
                <c:pt idx="38">
                  <c:v>0.74073109768798173</c:v>
                </c:pt>
                <c:pt idx="39">
                  <c:v>-3.2435585380545737E-2</c:v>
                </c:pt>
                <c:pt idx="40">
                  <c:v>0.26639909400836753</c:v>
                </c:pt>
                <c:pt idx="41">
                  <c:v>0.32619275185675578</c:v>
                </c:pt>
                <c:pt idx="42">
                  <c:v>0.1268716241173857</c:v>
                </c:pt>
                <c:pt idx="43">
                  <c:v>0.13889264193260734</c:v>
                </c:pt>
                <c:pt idx="44">
                  <c:v>1.0436528865268369</c:v>
                </c:pt>
                <c:pt idx="45">
                  <c:v>-0.24750024750024749</c:v>
                </c:pt>
                <c:pt idx="46">
                  <c:v>0.27690774864725926</c:v>
                </c:pt>
                <c:pt idx="47">
                  <c:v>0.2014855668727483</c:v>
                </c:pt>
                <c:pt idx="48">
                  <c:v>8.0965664826031306E-2</c:v>
                </c:pt>
                <c:pt idx="49">
                  <c:v>0.11156186612576065</c:v>
                </c:pt>
              </c:numCache>
            </c:numRef>
          </c:val>
        </c:ser>
        <c:ser>
          <c:idx val="1"/>
          <c:order val="1"/>
          <c:tx>
            <c:strRef>
              <c:f>'Task 6'!$C$3:$C$4</c:f>
              <c:strCache>
                <c:ptCount val="1"/>
                <c:pt idx="0">
                  <c:v>Instagram</c:v>
                </c:pt>
              </c:strCache>
            </c:strRef>
          </c:tx>
          <c:marker>
            <c:symbol val="none"/>
          </c:marker>
          <c:dLbls>
            <c:dLbl>
              <c:idx val="50"/>
              <c:dLblPos val="r"/>
              <c:showVal val="1"/>
              <c:showSerName val="1"/>
            </c:dLbl>
            <c:delete val="1"/>
          </c:dLbls>
          <c:cat>
            <c:strRef>
              <c:f>'Task 6'!$A$5:$A$56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6'!$C$5:$C$56</c:f>
              <c:numCache>
                <c:formatCode>0.00</c:formatCode>
                <c:ptCount val="51"/>
                <c:pt idx="0">
                  <c:v>0.30428616268120573</c:v>
                </c:pt>
                <c:pt idx="1">
                  <c:v>1.0517322049758935</c:v>
                </c:pt>
                <c:pt idx="2">
                  <c:v>0.19542790614208244</c:v>
                </c:pt>
                <c:pt idx="3">
                  <c:v>1.7636832660385824</c:v>
                </c:pt>
                <c:pt idx="4">
                  <c:v>-5.2211602419375981E-2</c:v>
                </c:pt>
                <c:pt idx="5">
                  <c:v>2.8717173625543171</c:v>
                </c:pt>
                <c:pt idx="6">
                  <c:v>1.1967386439556591</c:v>
                </c:pt>
                <c:pt idx="7">
                  <c:v>3.3557613568250697E-2</c:v>
                </c:pt>
                <c:pt idx="8">
                  <c:v>2.2861730899256254</c:v>
                </c:pt>
                <c:pt idx="9">
                  <c:v>8.0371168669857163E-2</c:v>
                </c:pt>
                <c:pt idx="10">
                  <c:v>0.27085701202809553</c:v>
                </c:pt>
                <c:pt idx="11">
                  <c:v>2.335271198731579E-2</c:v>
                </c:pt>
                <c:pt idx="12">
                  <c:v>0.35456226214689768</c:v>
                </c:pt>
                <c:pt idx="13">
                  <c:v>1.2306082974775983</c:v>
                </c:pt>
                <c:pt idx="14">
                  <c:v>0.41581361392816901</c:v>
                </c:pt>
                <c:pt idx="15">
                  <c:v>0.74222825979957874</c:v>
                </c:pt>
                <c:pt idx="16">
                  <c:v>0.15758651286601597</c:v>
                </c:pt>
                <c:pt idx="17">
                  <c:v>0.27682576721248608</c:v>
                </c:pt>
                <c:pt idx="18">
                  <c:v>1.000090820213374</c:v>
                </c:pt>
                <c:pt idx="19">
                  <c:v>0.31501331857780751</c:v>
                </c:pt>
                <c:pt idx="20">
                  <c:v>7.3371064356504964E-2</c:v>
                </c:pt>
                <c:pt idx="21">
                  <c:v>0.166223212379012</c:v>
                </c:pt>
                <c:pt idx="22">
                  <c:v>2.5430053699827071</c:v>
                </c:pt>
                <c:pt idx="23">
                  <c:v>1.7550345364335054</c:v>
                </c:pt>
                <c:pt idx="24">
                  <c:v>-9.5914811987394058E-2</c:v>
                </c:pt>
                <c:pt idx="25">
                  <c:v>0.59936417126309005</c:v>
                </c:pt>
                <c:pt idx="26">
                  <c:v>0.38511033114748661</c:v>
                </c:pt>
                <c:pt idx="27">
                  <c:v>0.5072161583928636</c:v>
                </c:pt>
                <c:pt idx="28">
                  <c:v>0.30759118725472717</c:v>
                </c:pt>
                <c:pt idx="29">
                  <c:v>0.24359408109118752</c:v>
                </c:pt>
                <c:pt idx="30">
                  <c:v>1.2535155251271271</c:v>
                </c:pt>
                <c:pt idx="31">
                  <c:v>0.19361810704529764</c:v>
                </c:pt>
                <c:pt idx="32">
                  <c:v>0.49282654051223052</c:v>
                </c:pt>
                <c:pt idx="33">
                  <c:v>0.40971536250166152</c:v>
                </c:pt>
                <c:pt idx="34">
                  <c:v>-4.6464109274628081E-2</c:v>
                </c:pt>
                <c:pt idx="35">
                  <c:v>0.30720567989168157</c:v>
                </c:pt>
                <c:pt idx="36">
                  <c:v>0.77568587198256844</c:v>
                </c:pt>
                <c:pt idx="37">
                  <c:v>0.21291007252180397</c:v>
                </c:pt>
                <c:pt idx="38">
                  <c:v>1.08675033985647</c:v>
                </c:pt>
                <c:pt idx="39">
                  <c:v>0.51052298518124528</c:v>
                </c:pt>
                <c:pt idx="40">
                  <c:v>4.5873346287504703E-2</c:v>
                </c:pt>
                <c:pt idx="41">
                  <c:v>0.16572027392586453</c:v>
                </c:pt>
                <c:pt idx="42">
                  <c:v>0.12636715002329982</c:v>
                </c:pt>
                <c:pt idx="43">
                  <c:v>0.22667798288422092</c:v>
                </c:pt>
                <c:pt idx="44">
                  <c:v>0.21195852212872357</c:v>
                </c:pt>
                <c:pt idx="45">
                  <c:v>-0.2399448126930806</c:v>
                </c:pt>
                <c:pt idx="46">
                  <c:v>0.95802484827301337</c:v>
                </c:pt>
                <c:pt idx="47">
                  <c:v>0.34511059684624079</c:v>
                </c:pt>
                <c:pt idx="48">
                  <c:v>0.41995793722733987</c:v>
                </c:pt>
                <c:pt idx="49">
                  <c:v>0.35361871958419905</c:v>
                </c:pt>
              </c:numCache>
            </c:numRef>
          </c:val>
        </c:ser>
        <c:ser>
          <c:idx val="2"/>
          <c:order val="2"/>
          <c:tx>
            <c:strRef>
              <c:f>'Task 6'!$D$3:$D$4</c:f>
              <c:strCache>
                <c:ptCount val="1"/>
                <c:pt idx="0">
                  <c:v>Twitter</c:v>
                </c:pt>
              </c:strCache>
            </c:strRef>
          </c:tx>
          <c:marker>
            <c:symbol val="none"/>
          </c:marker>
          <c:dLbls>
            <c:dLbl>
              <c:idx val="50"/>
              <c:dLblPos val="r"/>
              <c:showVal val="1"/>
              <c:showSerName val="1"/>
            </c:dLbl>
            <c:delete val="1"/>
          </c:dLbls>
          <c:cat>
            <c:strRef>
              <c:f>'Task 6'!$A$5:$A$56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6'!$D$5:$D$56</c:f>
              <c:numCache>
                <c:formatCode>0.00</c:formatCode>
                <c:ptCount val="51"/>
                <c:pt idx="0">
                  <c:v>0.28263208793603661</c:v>
                </c:pt>
                <c:pt idx="1">
                  <c:v>7.3128442639386351E-2</c:v>
                </c:pt>
                <c:pt idx="2">
                  <c:v>1.0551445425805821</c:v>
                </c:pt>
                <c:pt idx="3">
                  <c:v>0.27980604582117208</c:v>
                </c:pt>
                <c:pt idx="4">
                  <c:v>0.4303769366169265</c:v>
                </c:pt>
                <c:pt idx="5">
                  <c:v>0.140324773607655</c:v>
                </c:pt>
                <c:pt idx="6">
                  <c:v>0.18982132901478749</c:v>
                </c:pt>
                <c:pt idx="7">
                  <c:v>0.66371458255580551</c:v>
                </c:pt>
                <c:pt idx="8">
                  <c:v>0.51986619096302167</c:v>
                </c:pt>
                <c:pt idx="9">
                  <c:v>7.2889860753698937E-2</c:v>
                </c:pt>
                <c:pt idx="10">
                  <c:v>8.5080354946042956E-3</c:v>
                </c:pt>
                <c:pt idx="11">
                  <c:v>0.88256340939810773</c:v>
                </c:pt>
                <c:pt idx="12">
                  <c:v>0.65914381026955704</c:v>
                </c:pt>
                <c:pt idx="13">
                  <c:v>6.1798299135137513E-2</c:v>
                </c:pt>
                <c:pt idx="14">
                  <c:v>5.990134708914012E-2</c:v>
                </c:pt>
                <c:pt idx="15">
                  <c:v>0.2867301296020186</c:v>
                </c:pt>
                <c:pt idx="16">
                  <c:v>0.62566104068286432</c:v>
                </c:pt>
                <c:pt idx="17">
                  <c:v>0.92287307798970819</c:v>
                </c:pt>
                <c:pt idx="18">
                  <c:v>2.2456063766826309E-2</c:v>
                </c:pt>
                <c:pt idx="19">
                  <c:v>-6.4563614529395824E-3</c:v>
                </c:pt>
                <c:pt idx="20">
                  <c:v>0.24623771231227276</c:v>
                </c:pt>
                <c:pt idx="21">
                  <c:v>1.5381417584701726E-2</c:v>
                </c:pt>
                <c:pt idx="22">
                  <c:v>0.36508153411678962</c:v>
                </c:pt>
                <c:pt idx="23">
                  <c:v>1.3172212358971422</c:v>
                </c:pt>
                <c:pt idx="24">
                  <c:v>9.1277744844858608E-2</c:v>
                </c:pt>
                <c:pt idx="25">
                  <c:v>0.11079079758069074</c:v>
                </c:pt>
                <c:pt idx="26">
                  <c:v>0.37850431101244258</c:v>
                </c:pt>
                <c:pt idx="27">
                  <c:v>8.3806473528412688</c:v>
                </c:pt>
                <c:pt idx="28">
                  <c:v>0.41536387893013998</c:v>
                </c:pt>
                <c:pt idx="29">
                  <c:v>1.123041457611657</c:v>
                </c:pt>
                <c:pt idx="30">
                  <c:v>0.55634189738421069</c:v>
                </c:pt>
                <c:pt idx="31">
                  <c:v>0.32008104408927779</c:v>
                </c:pt>
                <c:pt idx="32">
                  <c:v>-2.9514486693885584E-2</c:v>
                </c:pt>
                <c:pt idx="33">
                  <c:v>0.71621491270377158</c:v>
                </c:pt>
                <c:pt idx="34">
                  <c:v>0.54309533874905258</c:v>
                </c:pt>
                <c:pt idx="35">
                  <c:v>0.32046588643454949</c:v>
                </c:pt>
                <c:pt idx="36">
                  <c:v>0.94958208908059605</c:v>
                </c:pt>
                <c:pt idx="37">
                  <c:v>-2.5410691720235155E-2</c:v>
                </c:pt>
                <c:pt idx="38">
                  <c:v>0.22333891680625351</c:v>
                </c:pt>
                <c:pt idx="39">
                  <c:v>0.19268070513850935</c:v>
                </c:pt>
                <c:pt idx="40">
                  <c:v>10.825114265095021</c:v>
                </c:pt>
                <c:pt idx="41">
                  <c:v>6.9173294769824052</c:v>
                </c:pt>
                <c:pt idx="42">
                  <c:v>0.13832962243592781</c:v>
                </c:pt>
                <c:pt idx="43">
                  <c:v>0.84497101083942527</c:v>
                </c:pt>
                <c:pt idx="44">
                  <c:v>3.4032917638311533</c:v>
                </c:pt>
                <c:pt idx="45">
                  <c:v>3.7191155522184875E-2</c:v>
                </c:pt>
                <c:pt idx="46">
                  <c:v>0.22734693021737243</c:v>
                </c:pt>
                <c:pt idx="47">
                  <c:v>0.19454574184929271</c:v>
                </c:pt>
                <c:pt idx="48">
                  <c:v>0.311749015203442</c:v>
                </c:pt>
                <c:pt idx="49">
                  <c:v>5.8952701962314107E-2</c:v>
                </c:pt>
              </c:numCache>
            </c:numRef>
          </c:val>
        </c:ser>
        <c:ser>
          <c:idx val="3"/>
          <c:order val="3"/>
          <c:tx>
            <c:strRef>
              <c:f>'Task 6'!$E$3:$E$4</c:f>
              <c:strCache>
                <c:ptCount val="1"/>
                <c:pt idx="0">
                  <c:v>YouTube</c:v>
                </c:pt>
              </c:strCache>
            </c:strRef>
          </c:tx>
          <c:marker>
            <c:symbol val="none"/>
          </c:marker>
          <c:dLbls>
            <c:dLbl>
              <c:idx val="50"/>
              <c:dLblPos val="r"/>
              <c:showVal val="1"/>
              <c:showSerName val="1"/>
            </c:dLbl>
            <c:delete val="1"/>
          </c:dLbls>
          <c:cat>
            <c:strRef>
              <c:f>'Task 6'!$A$5:$A$56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6'!$E$5:$E$56</c:f>
              <c:numCache>
                <c:formatCode>0.00</c:formatCode>
                <c:ptCount val="51"/>
                <c:pt idx="0">
                  <c:v>0.27557542170624166</c:v>
                </c:pt>
                <c:pt idx="1">
                  <c:v>0.24016739232334167</c:v>
                </c:pt>
                <c:pt idx="2">
                  <c:v>8.8023800381871797E-2</c:v>
                </c:pt>
                <c:pt idx="3">
                  <c:v>-2.8860773750305036E-2</c:v>
                </c:pt>
                <c:pt idx="4">
                  <c:v>8.0050669434719113E-2</c:v>
                </c:pt>
                <c:pt idx="5">
                  <c:v>0.21994574101175038</c:v>
                </c:pt>
                <c:pt idx="6">
                  <c:v>0.10211701333265255</c:v>
                </c:pt>
                <c:pt idx="7">
                  <c:v>0.10340418313957282</c:v>
                </c:pt>
                <c:pt idx="8">
                  <c:v>0.76001216019456308</c:v>
                </c:pt>
                <c:pt idx="9">
                  <c:v>9.9485420240137221E-2</c:v>
                </c:pt>
                <c:pt idx="10">
                  <c:v>1.011348268360087</c:v>
                </c:pt>
                <c:pt idx="11">
                  <c:v>0.21728440241071326</c:v>
                </c:pt>
                <c:pt idx="12">
                  <c:v>1.1713324743561855E-2</c:v>
                </c:pt>
                <c:pt idx="13">
                  <c:v>8.9764429025449427E-2</c:v>
                </c:pt>
                <c:pt idx="14">
                  <c:v>1.703234597339857</c:v>
                </c:pt>
                <c:pt idx="15">
                  <c:v>-2.6681341404439108E-2</c:v>
                </c:pt>
                <c:pt idx="16">
                  <c:v>1.592351646960128</c:v>
                </c:pt>
                <c:pt idx="17">
                  <c:v>1.8079694785926241</c:v>
                </c:pt>
                <c:pt idx="18">
                  <c:v>0.10019784829366461</c:v>
                </c:pt>
                <c:pt idx="19">
                  <c:v>0.18425729749269498</c:v>
                </c:pt>
                <c:pt idx="20">
                  <c:v>0.57763419096181545</c:v>
                </c:pt>
                <c:pt idx="21">
                  <c:v>0.54180958515762179</c:v>
                </c:pt>
                <c:pt idx="22">
                  <c:v>0.40317597627286211</c:v>
                </c:pt>
                <c:pt idx="23">
                  <c:v>0.28821299683708945</c:v>
                </c:pt>
                <c:pt idx="24">
                  <c:v>1.9887634863023914E-2</c:v>
                </c:pt>
                <c:pt idx="25">
                  <c:v>1.4152074838090669</c:v>
                </c:pt>
                <c:pt idx="26">
                  <c:v>0.13151115811166245</c:v>
                </c:pt>
                <c:pt idx="27">
                  <c:v>0.12679964770499277</c:v>
                </c:pt>
                <c:pt idx="28">
                  <c:v>0.17917737946946316</c:v>
                </c:pt>
                <c:pt idx="29">
                  <c:v>6.3113158835445047</c:v>
                </c:pt>
                <c:pt idx="30">
                  <c:v>1.0669005078738718</c:v>
                </c:pt>
                <c:pt idx="31">
                  <c:v>0.88669950738916259</c:v>
                </c:pt>
                <c:pt idx="32">
                  <c:v>6.2409087760615085</c:v>
                </c:pt>
                <c:pt idx="33">
                  <c:v>0.2148693125665902</c:v>
                </c:pt>
                <c:pt idx="34">
                  <c:v>0.26534161921203286</c:v>
                </c:pt>
                <c:pt idx="35">
                  <c:v>-7.4972485467156139E-2</c:v>
                </c:pt>
                <c:pt idx="36">
                  <c:v>0.29756017144741181</c:v>
                </c:pt>
                <c:pt idx="37">
                  <c:v>1.1086997546706925</c:v>
                </c:pt>
                <c:pt idx="38">
                  <c:v>0.21885278918832757</c:v>
                </c:pt>
                <c:pt idx="39">
                  <c:v>0.14029055733207443</c:v>
                </c:pt>
                <c:pt idx="40">
                  <c:v>1.2622336046830696</c:v>
                </c:pt>
                <c:pt idx="41">
                  <c:v>7.9689298043728432</c:v>
                </c:pt>
                <c:pt idx="42">
                  <c:v>8.8022790888170319E-2</c:v>
                </c:pt>
                <c:pt idx="43">
                  <c:v>0.33667947287974553</c:v>
                </c:pt>
                <c:pt idx="44">
                  <c:v>7.1981098934404214E-2</c:v>
                </c:pt>
                <c:pt idx="45">
                  <c:v>3.9239564305527365E-2</c:v>
                </c:pt>
                <c:pt idx="46">
                  <c:v>0.60267642955734835</c:v>
                </c:pt>
                <c:pt idx="47">
                  <c:v>5.5706165282028861</c:v>
                </c:pt>
                <c:pt idx="48">
                  <c:v>0.58190830903102841</c:v>
                </c:pt>
                <c:pt idx="49">
                  <c:v>-0.4081978730104896</c:v>
                </c:pt>
              </c:numCache>
            </c:numRef>
          </c:val>
        </c:ser>
        <c:ser>
          <c:idx val="4"/>
          <c:order val="4"/>
          <c:tx>
            <c:strRef>
              <c:f>'Task 6'!$F$3:$F$4</c:f>
              <c:strCache>
                <c:ptCount val="1"/>
                <c:pt idx="0">
                  <c:v>(blank)</c:v>
                </c:pt>
              </c:strCache>
            </c:strRef>
          </c:tx>
          <c:marker>
            <c:symbol val="none"/>
          </c:marker>
          <c:dLbls>
            <c:dLbl>
              <c:idx val="50"/>
              <c:dLblPos val="r"/>
              <c:showVal val="1"/>
              <c:showSerName val="1"/>
            </c:dLbl>
            <c:delete val="1"/>
          </c:dLbls>
          <c:cat>
            <c:strRef>
              <c:f>'Task 6'!$A$5:$A$56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6'!$F$5:$F$56</c:f>
              <c:numCache>
                <c:formatCode>0.00</c:formatCode>
                <c:ptCount val="51"/>
              </c:numCache>
            </c:numRef>
          </c:val>
        </c:ser>
        <c:marker val="1"/>
        <c:axId val="171406080"/>
        <c:axId val="171407616"/>
      </c:lineChart>
      <c:catAx>
        <c:axId val="171406080"/>
        <c:scaling>
          <c:orientation val="minMax"/>
        </c:scaling>
        <c:axPos val="b"/>
        <c:majorTickMark val="none"/>
        <c:tickLblPos val="nextTo"/>
        <c:crossAx val="171407616"/>
        <c:crosses val="autoZero"/>
        <c:auto val="1"/>
        <c:lblAlgn val="ctr"/>
        <c:lblOffset val="100"/>
      </c:catAx>
      <c:valAx>
        <c:axId val="1714076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Followers</a:t>
                </a:r>
                <a:r>
                  <a:rPr lang="en-US" baseline="0"/>
                  <a:t> Growth Rate</a:t>
                </a:r>
                <a:endParaRPr lang="en-US"/>
              </a:p>
            </c:rich>
          </c:tx>
        </c:title>
        <c:numFmt formatCode="0.00" sourceLinked="1"/>
        <c:majorTickMark val="none"/>
        <c:tickLblPos val="nextTo"/>
        <c:crossAx val="171406080"/>
        <c:crosses val="autoZero"/>
        <c:crossBetween val="between"/>
      </c:valAx>
    </c:plotArea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[Tesla_Social_Media_Analytics_fin.xlsx]Task 6.2!PivotTable2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Smooth Growth</a:t>
            </a:r>
            <a:r>
              <a:rPr lang="en-US" baseline="0"/>
              <a:t> Trends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'Task 6.2'!$B$3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trendline>
            <c:trendlineType val="movingAvg"/>
            <c:period val="2"/>
          </c:trendline>
          <c:cat>
            <c:strRef>
              <c:f>'Task 6.2'!$A$4:$A$55</c:f>
              <c:strCache>
                <c:ptCount val="51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(blank)</c:v>
                </c:pt>
              </c:strCache>
            </c:strRef>
          </c:cat>
          <c:val>
            <c:numRef>
              <c:f>'Task 6.2'!$B$4:$B$55</c:f>
              <c:numCache>
                <c:formatCode>General</c:formatCode>
                <c:ptCount val="51"/>
                <c:pt idx="0">
                  <c:v>3.2116285717467505</c:v>
                </c:pt>
                <c:pt idx="1">
                  <c:v>1.7703288565423712</c:v>
                </c:pt>
                <c:pt idx="2">
                  <c:v>2.1539547236408083</c:v>
                </c:pt>
                <c:pt idx="3">
                  <c:v>8.3656458417793491</c:v>
                </c:pt>
                <c:pt idx="4">
                  <c:v>0.48730426833547841</c:v>
                </c:pt>
                <c:pt idx="5">
                  <c:v>3.354756000370938</c:v>
                </c:pt>
                <c:pt idx="6">
                  <c:v>1.4396670468483048</c:v>
                </c:pt>
                <c:pt idx="7">
                  <c:v>1.1264037579886488</c:v>
                </c:pt>
                <c:pt idx="8">
                  <c:v>3.4929537061935236</c:v>
                </c:pt>
                <c:pt idx="9">
                  <c:v>9.5189305206985528E-2</c:v>
                </c:pt>
                <c:pt idx="10">
                  <c:v>1.7243765019743567</c:v>
                </c:pt>
                <c:pt idx="11">
                  <c:v>1.6984381219344982</c:v>
                </c:pt>
                <c:pt idx="12">
                  <c:v>1.0351721516541914</c:v>
                </c:pt>
                <c:pt idx="13">
                  <c:v>1.5924402104376347</c:v>
                </c:pt>
                <c:pt idx="14">
                  <c:v>2.6433035599960624</c:v>
                </c:pt>
                <c:pt idx="15">
                  <c:v>1.0229450897212946</c:v>
                </c:pt>
                <c:pt idx="16">
                  <c:v>2.3676743778790517</c:v>
                </c:pt>
                <c:pt idx="17">
                  <c:v>2.9681908380916227</c:v>
                </c:pt>
                <c:pt idx="18">
                  <c:v>1.5608475520006173</c:v>
                </c:pt>
                <c:pt idx="19">
                  <c:v>0.67365296552308895</c:v>
                </c:pt>
                <c:pt idx="20">
                  <c:v>2.7659642344448279</c:v>
                </c:pt>
                <c:pt idx="21">
                  <c:v>0.90723511832010506</c:v>
                </c:pt>
                <c:pt idx="22">
                  <c:v>3.480443232894086</c:v>
                </c:pt>
                <c:pt idx="23">
                  <c:v>3.3262180995025212</c:v>
                </c:pt>
                <c:pt idx="24">
                  <c:v>3.6499095817240104E-2</c:v>
                </c:pt>
                <c:pt idx="25">
                  <c:v>2.5210126764684961</c:v>
                </c:pt>
                <c:pt idx="26">
                  <c:v>1.2578968951130547</c:v>
                </c:pt>
                <c:pt idx="27">
                  <c:v>12.845364570690702</c:v>
                </c:pt>
                <c:pt idx="28">
                  <c:v>1.2332893303266004</c:v>
                </c:pt>
                <c:pt idx="29">
                  <c:v>8.4599797680967068</c:v>
                </c:pt>
                <c:pt idx="30">
                  <c:v>3.3448272236163898</c:v>
                </c:pt>
                <c:pt idx="31">
                  <c:v>2.0480670523061217</c:v>
                </c:pt>
                <c:pt idx="32">
                  <c:v>6.8368426929055008</c:v>
                </c:pt>
                <c:pt idx="33">
                  <c:v>1.4298525398669575</c:v>
                </c:pt>
                <c:pt idx="34">
                  <c:v>1.0414563333288709</c:v>
                </c:pt>
                <c:pt idx="35">
                  <c:v>1.102751659414378</c:v>
                </c:pt>
                <c:pt idx="36">
                  <c:v>2.3171033185299232</c:v>
                </c:pt>
                <c:pt idx="37">
                  <c:v>2.8109609177466908</c:v>
                </c:pt>
                <c:pt idx="38">
                  <c:v>2.2696731435390327</c:v>
                </c:pt>
                <c:pt idx="39">
                  <c:v>0.81105866227128331</c:v>
                </c:pt>
                <c:pt idx="40">
                  <c:v>12.399620310073963</c:v>
                </c:pt>
                <c:pt idx="41">
                  <c:v>15.378172307137868</c:v>
                </c:pt>
                <c:pt idx="42">
                  <c:v>0.47959118746478369</c:v>
                </c:pt>
                <c:pt idx="43">
                  <c:v>1.547221108535999</c:v>
                </c:pt>
                <c:pt idx="44">
                  <c:v>4.7308842714211172</c:v>
                </c:pt>
                <c:pt idx="45">
                  <c:v>-0.41101434036561585</c:v>
                </c:pt>
                <c:pt idx="46">
                  <c:v>2.0649559566949938</c:v>
                </c:pt>
                <c:pt idx="47">
                  <c:v>6.3117584337711676</c:v>
                </c:pt>
                <c:pt idx="48">
                  <c:v>1.3945809262878415</c:v>
                </c:pt>
                <c:pt idx="49">
                  <c:v>0.11593541466178414</c:v>
                </c:pt>
              </c:numCache>
            </c:numRef>
          </c:val>
        </c:ser>
        <c:marker val="1"/>
        <c:axId val="172158336"/>
        <c:axId val="172188800"/>
      </c:lineChart>
      <c:catAx>
        <c:axId val="172158336"/>
        <c:scaling>
          <c:orientation val="minMax"/>
        </c:scaling>
        <c:axPos val="b"/>
        <c:tickLblPos val="nextTo"/>
        <c:crossAx val="172188800"/>
        <c:crosses val="autoZero"/>
        <c:auto val="1"/>
        <c:lblAlgn val="ctr"/>
        <c:lblOffset val="100"/>
      </c:catAx>
      <c:valAx>
        <c:axId val="172188800"/>
        <c:scaling>
          <c:orientation val="minMax"/>
        </c:scaling>
        <c:axPos val="l"/>
        <c:majorGridlines/>
        <c:numFmt formatCode="General" sourceLinked="1"/>
        <c:tickLblPos val="nextTo"/>
        <c:crossAx val="1721583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Ad_Spend</a:t>
            </a:r>
            <a:r>
              <a:rPr lang="en-US" baseline="0"/>
              <a:t> vs Follower_Growth_Rate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'Task 6.3'!$A$2</c:f>
              <c:strCache>
                <c:ptCount val="1"/>
                <c:pt idx="0">
                  <c:v>Ad_Spend</c:v>
                </c:pt>
              </c:strCache>
            </c:strRef>
          </c:tx>
          <c:spPr>
            <a:ln w="19050">
              <a:noFill/>
            </a:ln>
          </c:spPr>
          <c:xVal>
            <c:strRef>
              <c:f>'Task 6.3'!$B$1:$C$1</c:f>
              <c:strCache>
                <c:ptCount val="2"/>
                <c:pt idx="0">
                  <c:v>Ad_Spend</c:v>
                </c:pt>
                <c:pt idx="1">
                  <c:v>Follower_Growth_Rate</c:v>
                </c:pt>
              </c:strCache>
            </c:strRef>
          </c:xVal>
          <c:yVal>
            <c:numRef>
              <c:f>'Task 6.3'!$B$2:$C$2</c:f>
              <c:numCache>
                <c:formatCode>General</c:formatCode>
                <c:ptCount val="2"/>
                <c:pt idx="0">
                  <c:v>1</c:v>
                </c:pt>
              </c:numCache>
            </c:numRef>
          </c:yVal>
        </c:ser>
        <c:ser>
          <c:idx val="1"/>
          <c:order val="1"/>
          <c:tx>
            <c:strRef>
              <c:f>'Task 6.3'!$A$3</c:f>
              <c:strCache>
                <c:ptCount val="1"/>
                <c:pt idx="0">
                  <c:v>Follower_Growth_Rate</c:v>
                </c:pt>
              </c:strCache>
            </c:strRef>
          </c:tx>
          <c:spPr>
            <a:ln w="19050">
              <a:noFill/>
            </a:ln>
          </c:spPr>
          <c:xVal>
            <c:strRef>
              <c:f>'Task 6.3'!$B$1:$C$1</c:f>
              <c:strCache>
                <c:ptCount val="2"/>
                <c:pt idx="0">
                  <c:v>Ad_Spend</c:v>
                </c:pt>
                <c:pt idx="1">
                  <c:v>Follower_Growth_Rate</c:v>
                </c:pt>
              </c:strCache>
            </c:strRef>
          </c:xVal>
          <c:yVal>
            <c:numRef>
              <c:f>'Task 6.3'!$B$3:$C$3</c:f>
              <c:numCache>
                <c:formatCode>General</c:formatCode>
                <c:ptCount val="2"/>
                <c:pt idx="0">
                  <c:v>-0.62778130291623624</c:v>
                </c:pt>
                <c:pt idx="1">
                  <c:v>1</c:v>
                </c:pt>
              </c:numCache>
            </c:numRef>
          </c:yVal>
        </c:ser>
        <c:axId val="172242816"/>
        <c:axId val="172244352"/>
      </c:scatterChart>
      <c:valAx>
        <c:axId val="172242816"/>
        <c:scaling>
          <c:orientation val="minMax"/>
        </c:scaling>
        <c:axPos val="b"/>
        <c:majorTickMark val="none"/>
        <c:tickLblPos val="nextTo"/>
        <c:crossAx val="172244352"/>
        <c:crosses val="autoZero"/>
        <c:crossBetween val="midCat"/>
      </c:valAx>
      <c:valAx>
        <c:axId val="1722443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22428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8</xdr:row>
      <xdr:rowOff>91440</xdr:rowOff>
    </xdr:from>
    <xdr:to>
      <xdr:col>11</xdr:col>
      <xdr:colOff>198120</xdr:colOff>
      <xdr:row>23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11974</xdr:colOff>
      <xdr:row>6</xdr:row>
      <xdr:rowOff>54429</xdr:rowOff>
    </xdr:from>
    <xdr:to>
      <xdr:col>18</xdr:col>
      <xdr:colOff>239486</xdr:colOff>
      <xdr:row>31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175260</xdr:rowOff>
    </xdr:from>
    <xdr:to>
      <xdr:col>8</xdr:col>
      <xdr:colOff>495300</xdr:colOff>
      <xdr:row>23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</xdr:row>
      <xdr:rowOff>167640</xdr:rowOff>
    </xdr:from>
    <xdr:to>
      <xdr:col>13</xdr:col>
      <xdr:colOff>434340</xdr:colOff>
      <xdr:row>16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10</xdr:row>
      <xdr:rowOff>7620</xdr:rowOff>
    </xdr:from>
    <xdr:to>
      <xdr:col>18</xdr:col>
      <xdr:colOff>83820</xdr:colOff>
      <xdr:row>27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0.15134</cdr:x>
      <cdr:y>0.04276</cdr:y>
    </cdr:from>
    <cdr:to>
      <cdr:x>0.8331</cdr:x>
      <cdr:y>0.11876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5340" y="137160"/>
          <a:ext cx="367284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0.49505</cdr:x>
      <cdr:y>0.06176</cdr:y>
    </cdr:from>
    <cdr:to>
      <cdr:x>0.66478</cdr:x>
      <cdr:y>0.11876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667000" y="198120"/>
          <a:ext cx="914400" cy="182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0.5488</cdr:x>
      <cdr:y>0.09739</cdr:y>
    </cdr:from>
    <cdr:to>
      <cdr:x>0.71853</cdr:x>
      <cdr:y>0.38242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56560" y="3124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0.16266</cdr:x>
      <cdr:y>0.05701</cdr:y>
    </cdr:from>
    <cdr:to>
      <cdr:x>0.81895</cdr:x>
      <cdr:y>0.17815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876300" y="182880"/>
          <a:ext cx="3535680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400" b="1"/>
            <a:t>Engagement</a:t>
          </a:r>
          <a:r>
            <a:rPr lang="en-US" sz="1400" b="1" baseline="0"/>
            <a:t> Rate by Content Type &amp; Platform</a:t>
          </a:r>
          <a:endParaRPr lang="en-US" sz="14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7</xdr:row>
      <xdr:rowOff>60960</xdr:rowOff>
    </xdr:from>
    <xdr:to>
      <xdr:col>17</xdr:col>
      <xdr:colOff>190500</xdr:colOff>
      <xdr:row>27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541020</xdr:colOff>
      <xdr:row>10</xdr:row>
      <xdr:rowOff>0</xdr:rowOff>
    </xdr:from>
    <xdr:to>
      <xdr:col>19</xdr:col>
      <xdr:colOff>236220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242942</xdr:colOff>
      <xdr:row>7</xdr:row>
      <xdr:rowOff>81705</xdr:rowOff>
    </xdr:from>
    <xdr:to>
      <xdr:col>23</xdr:col>
      <xdr:colOff>17930</xdr:colOff>
      <xdr:row>28</xdr:row>
      <xdr:rowOff>71718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5</xdr:row>
      <xdr:rowOff>22860</xdr:rowOff>
    </xdr:from>
    <xdr:to>
      <xdr:col>15</xdr:col>
      <xdr:colOff>441960</xdr:colOff>
      <xdr:row>24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ltimate" refreshedDate="45922.688447106484" createdVersion="3" refreshedVersion="3" minRefreshableVersion="3" recordCount="1000">
  <cacheSource type="worksheet">
    <worksheetSource ref="A1:K1048576" sheet="Posts"/>
  </cacheSource>
  <cacheFields count="11">
    <cacheField name="Post ID" numFmtId="0">
      <sharedItems containsBlank="1"/>
    </cacheField>
    <cacheField name="Platform" numFmtId="0">
      <sharedItems containsBlank="1" count="5">
        <s v="Instagram"/>
        <s v="Twitter"/>
        <s v="YouTube"/>
        <s v="Facebook"/>
        <m/>
      </sharedItems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 count="7">
        <s v="Story"/>
        <s v="Reel"/>
        <s v="Video"/>
        <s v="Carousel"/>
        <s v="Image"/>
        <s v="Text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ltimate" refreshedDate="45922.691098726849" createdVersion="3" refreshedVersion="3" minRefreshableVersion="3" recordCount="1000">
  <cacheSource type="worksheet">
    <worksheetSource ref="A1:L1048576" sheet="Posts"/>
  </cacheSource>
  <cacheFields count="12">
    <cacheField name="Post 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 count="4">
        <s v="#EVRevolution"/>
        <s v="#TeslaCoInnovation"/>
        <s v="#FutureOfDriving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ltimate" refreshedDate="45923.513440509261" createdVersion="3" refreshedVersion="3" minRefreshableVersion="3" recordCount="304">
  <cacheSource type="worksheet">
    <worksheetSource ref="L1:P1048576" sheet="Posts"/>
  </cacheSource>
  <cacheFields count="5">
    <cacheField name="Hashtags Used" numFmtId="0">
      <sharedItems containsBlank="1" count="4">
        <s v="#EVRevolution"/>
        <s v="#TeslaCoInnovation"/>
        <s v="#FutureOfDriving"/>
        <m/>
      </sharedItems>
    </cacheField>
    <cacheField name="Hashtags Used2" numFmtId="0">
      <sharedItems containsBlank="1" count="6">
        <m/>
        <s v="#BetterWithTesla"/>
        <s v="#AnytimeIsTeslaTime"/>
        <s v="#TeslaCoInnovation"/>
        <s v="#SmoothLikeNitroTesla"/>
        <s v="#EVRevolution"/>
      </sharedItems>
    </cacheField>
    <cacheField name="Hashtags Used3" numFmtId="0">
      <sharedItems containsBlank="1" count="4">
        <m/>
        <s v="#AnytimeIsTeslaTime"/>
        <s v="#EVRevolution"/>
        <s v="#BetterWithTesla"/>
      </sharedItems>
    </cacheField>
    <cacheField name="Campaign_Name" numFmtId="0">
      <sharedItems containsBlank="1"/>
    </cacheField>
    <cacheField name="Engagement Rate" numFmtId="0">
      <sharedItems containsString="0" containsBlank="1" containsNumber="1" minValue="5.2551586421122697E-2" maxValue="1.8129251700680271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ltimate" refreshedDate="45923.628399768517" createdVersion="3" refreshedVersion="3" minRefreshableVersion="3" recordCount="304">
  <cacheSource type="worksheet">
    <worksheetSource ref="B1:P1048576" sheet="Posts"/>
  </cacheSource>
  <cacheFields count="15">
    <cacheField name="Platform" numFmtId="0">
      <sharedItems containsBlank="1" count="5">
        <s v="Instagram"/>
        <s v="Twitter"/>
        <s v="YouTube"/>
        <s v="Facebook"/>
        <m/>
      </sharedItems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 count="7">
        <s v="Story"/>
        <s v="Reel"/>
        <s v="Video"/>
        <s v="Carousel"/>
        <s v="Image"/>
        <s v="Text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/>
    </cacheField>
    <cacheField name="Hashtags Used2" numFmtId="0">
      <sharedItems containsBlank="1"/>
    </cacheField>
    <cacheField name="Hashtags Used3" numFmtId="0">
      <sharedItems containsBlank="1"/>
    </cacheField>
    <cacheField name="Campaign_Name" numFmtId="0">
      <sharedItems containsBlank="1"/>
    </cacheField>
    <cacheField name="Engagement Rate" numFmtId="0">
      <sharedItems containsString="0" containsBlank="1" containsNumber="1" minValue="5.2551586421122697E-2" maxValue="1.8129251700680271"/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Ultimate" refreshedDate="45923.662224537038" createdVersion="3" refreshedVersion="3" minRefreshableVersion="3" recordCount="208">
  <cacheSource type="worksheet">
    <worksheetSource ref="B1:F1048576" sheet="Engagement Summary"/>
  </cacheSource>
  <cacheFields count="5"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Follower_Growth_Rate" numFmtId="0">
      <sharedItems containsString="0" containsBlank="1" containsNumber="1" minValue="-0.4081978730104896" maxValue="10.825114265095021"/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Ultimate" refreshedDate="45924.500284259258" createdVersion="3" refreshedVersion="3" minRefreshableVersion="3" recordCount="304">
  <cacheSource type="worksheet">
    <worksheetSource ref="L1:N1048576" sheet="Posts"/>
  </cacheSource>
  <cacheFields count="3">
    <cacheField name="Hashtags Used" numFmtId="0">
      <sharedItems containsBlank="1" count="4">
        <s v="#EVRevolution"/>
        <s v="#TeslaCoInnovation"/>
        <s v="#FutureOfDriving"/>
        <m/>
      </sharedItems>
    </cacheField>
    <cacheField name="Hashtags Used2" numFmtId="0">
      <sharedItems containsBlank="1" count="6">
        <m/>
        <s v="#BetterWithTesla"/>
        <s v="#AnytimeIsTeslaTime"/>
        <s v="#TeslaCoInnovation"/>
        <s v="#SmoothLikeNitroTesla"/>
        <s v="#EVRevolution"/>
      </sharedItems>
    </cacheField>
    <cacheField name="Hashtags Used3" numFmtId="0">
      <sharedItems containsBlank="1" count="4">
        <m/>
        <s v="#AnytimeIsTeslaTime"/>
        <s v="#EVRevolution"/>
        <s v="#BetterWithTesla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Ultimate" refreshedDate="45924.592368634258" createdVersion="3" refreshedVersion="3" minRefreshableVersion="3" recordCount="304">
  <cacheSource type="worksheet">
    <worksheetSource ref="F1:P1048576" sheet="Posts"/>
  </cacheSource>
  <cacheFields count="11"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 count="4">
        <s v="#EVRevolution"/>
        <s v="#TeslaCoInnovation"/>
        <s v="#FutureOfDriving"/>
        <m/>
      </sharedItems>
    </cacheField>
    <cacheField name="Hashtags Used2" numFmtId="0">
      <sharedItems containsBlank="1" count="6">
        <m/>
        <s v="#BetterWithTesla"/>
        <s v="#AnytimeIsTeslaTime"/>
        <s v="#TeslaCoInnovation"/>
        <s v="#SmoothLikeNitroTesla"/>
        <s v="#EVRevolution"/>
      </sharedItems>
    </cacheField>
    <cacheField name="Hashtags Used3" numFmtId="0">
      <sharedItems containsBlank="1" count="4">
        <m/>
        <s v="#AnytimeIsTeslaTime"/>
        <s v="#EVRevolution"/>
        <s v="#BetterWithTesla"/>
      </sharedItems>
    </cacheField>
    <cacheField name="Campaign_Name" numFmtId="0">
      <sharedItems containsBlank="1"/>
    </cacheField>
    <cacheField name="Engagement Rate" numFmtId="0">
      <sharedItems containsString="0" containsBlank="1" containsNumber="1" minValue="5.2551586421122697E-2" maxValue="1.8129251700680271"/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Ultimate" refreshedDate="45924.598941550925" createdVersion="3" refreshedVersion="3" minRefreshableVersion="3" recordCount="304">
  <cacheSource type="worksheet">
    <worksheetSource ref="F1:O1048576" sheet="Posts"/>
  </cacheSource>
  <cacheFields count="10"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/>
    </cacheField>
    <cacheField name="Hashtags Used2" numFmtId="0">
      <sharedItems containsBlank="1"/>
    </cacheField>
    <cacheField name="Hashtags Used3" numFmtId="0">
      <sharedItems containsBlank="1"/>
    </cacheField>
    <cacheField name="Campaign_Name" numFmtId="0">
      <sharedItems containsBlank="1" count="5">
        <m/>
        <s v="SustainabilityDrive"/>
        <s v="FSDUpdate"/>
        <s v="ModelYCampaign"/>
        <s v="CybertruckLaunch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Ultimate" refreshedDate="45924.737236574074" createdVersion="3" refreshedVersion="3" minRefreshableVersion="3" recordCount="1000">
  <cacheSource type="worksheet">
    <worksheetSource ref="I1:J1048576" sheet="Engagement Summary"/>
  </cacheSource>
  <cacheFields count="3">
    <cacheField name="Engagement" numFmtId="0">
      <sharedItems containsString="0" containsBlank="1" containsNumber="1" minValue="153" maxValue="948"/>
    </cacheField>
    <cacheField name="Ad_Spend" numFmtId="0">
      <sharedItems containsString="0" containsBlank="1" containsNumber="1" containsInteger="1" minValue="1083" maxValue="49772"/>
    </cacheField>
    <cacheField name="Platform" numFmtId="0">
      <sharedItems containsBlank="1" count="5">
        <s v="Instagram"/>
        <s v="Facebook"/>
        <s v="Twitter"/>
        <s v="YouTube"/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Ultimate" refreshedDate="45924.747745486115" createdVersion="3" refreshedVersion="3" minRefreshableVersion="3" recordCount="304">
  <cacheSource type="worksheet">
    <worksheetSource ref="D1:P1048576" sheet="Posts"/>
  </cacheSource>
  <cacheFields count="13">
    <cacheField name="Content Type" numFmtId="0">
      <sharedItems containsBlank="1" count="7">
        <s v="Story"/>
        <s v="Reel"/>
        <s v="Video"/>
        <s v="Carousel"/>
        <s v="Image"/>
        <s v="Text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/>
    </cacheField>
    <cacheField name="Hashtags Used2" numFmtId="0">
      <sharedItems containsBlank="1"/>
    </cacheField>
    <cacheField name="Hashtags Used3" numFmtId="0">
      <sharedItems containsBlank="1"/>
    </cacheField>
    <cacheField name="Campaign_Name" numFmtId="0">
      <sharedItems containsBlank="1"/>
    </cacheField>
    <cacheField name="Engagement Rate" numFmtId="0">
      <sharedItems containsString="0" containsBlank="1" containsNumber="1" minValue="5.2551586421122697E-2" maxValue="1.8129251700680271" count="301">
        <n v="1.8129251700680271"/>
        <n v="0.86601941747572819"/>
        <n v="0.7168674698795181"/>
        <n v="0.70387596899224802"/>
        <n v="0.6508215962441315"/>
        <n v="0.53773584905660377"/>
        <n v="0.53389830508474578"/>
        <n v="0.50192307692307692"/>
        <n v="0.48518407662376534"/>
        <n v="0.38274706867671693"/>
        <n v="0.37955854126679461"/>
        <n v="0.36965174129353234"/>
        <n v="0.35666666666666669"/>
        <n v="0.33618012422360249"/>
        <n v="0.32349397590361445"/>
        <n v="0.32083531086853345"/>
        <n v="0.31965192168237855"/>
        <n v="0.31705583756345179"/>
        <n v="0.30126002290950743"/>
        <n v="0.29713518352730528"/>
        <n v="0.29199735449735448"/>
        <n v="0.28696581196581195"/>
        <n v="0.28245270711024134"/>
        <n v="0.28045655718611695"/>
        <n v="0.26876680752977333"/>
        <n v="0.26297968397291194"/>
        <n v="0.25869984981763572"/>
        <n v="0.25771055753262156"/>
        <n v="0.25701459034792368"/>
        <n v="0.25537047673750718"/>
        <n v="0.25279701651571657"/>
        <n v="0.25062082139446035"/>
        <n v="0.24763928234183191"/>
        <n v="0.24349030470914126"/>
        <n v="0.23673521198273673"/>
        <n v="0.23656250000000001"/>
        <n v="0.23616777446710979"/>
        <n v="0.23414918414918415"/>
        <n v="0.2316508937960042"/>
        <n v="0.23101532992668297"/>
        <n v="0.22157421618066214"/>
        <n v="0.21840570317563188"/>
        <n v="0.21826126954921804"/>
        <n v="0.21745283018867925"/>
        <n v="0.21636759108210984"/>
        <n v="0.21208106001558846"/>
        <n v="0.20871010638297871"/>
        <n v="0.20868152274837512"/>
        <n v="0.20675990675990677"/>
        <n v="0.20416333066453163"/>
        <n v="0.20357370772176134"/>
        <n v="0.2023049153013052"/>
        <n v="0.2015852613538989"/>
        <n v="0.19864505202032423"/>
        <n v="0.19847328244274809"/>
        <n v="0.19511518179295032"/>
        <n v="0.19484607062063539"/>
        <n v="0.19310344827586207"/>
        <n v="0.19156491900087783"/>
        <n v="0.19088381621305239"/>
        <n v="0.18806848582129482"/>
        <n v="0.18632075471698112"/>
        <n v="0.18519683938186141"/>
        <n v="0.18433235867446393"/>
        <n v="0.18248432325794406"/>
        <n v="0.17954159592529711"/>
        <n v="0.17801355732390214"/>
        <n v="0.17770337301587302"/>
        <n v="0.17743908486792079"/>
        <n v="0.17441662408448305"/>
        <n v="0.17291569632044715"/>
        <n v="0.17057291666666666"/>
        <n v="0.16888537906137185"/>
        <n v="0.16873144921925409"/>
        <n v="0.16843866371633656"/>
        <n v="0.16769515581610614"/>
        <n v="0.16754738655944859"/>
        <n v="0.16744313510550835"/>
        <n v="0.16683616863905326"/>
        <n v="0.16540727459016394"/>
        <n v="0.16510298716704411"/>
        <n v="0.1650782845473111"/>
        <n v="0.16118220597196831"/>
        <n v="0.16065573770491803"/>
        <n v="0.15989220750056141"/>
        <n v="0.15761129727142173"/>
        <n v="0.1569549774407219"/>
        <n v="0.15571802706241816"/>
        <n v="0.15405989502933004"/>
        <n v="0.15355188488042157"/>
        <n v="0.15339966832504145"/>
        <n v="0.15283323095823095"/>
        <n v="0.15105033277870217"/>
        <n v="0.14521452145214522"/>
        <n v="0.1441326530612245"/>
        <n v="0.14348370927318296"/>
        <n v="0.14320716458262928"/>
        <n v="0.14316214319138981"/>
        <n v="0.14276618001546368"/>
        <n v="0.14265722032712325"/>
        <n v="0.14220299534507186"/>
        <n v="0.13989473684210527"/>
        <n v="0.13840458048129492"/>
        <n v="0.13809430512016718"/>
        <n v="0.13707250341997265"/>
        <n v="0.13667732704931829"/>
        <n v="0.13614307931570763"/>
        <n v="0.13599052880820836"/>
        <n v="0.13576158940397351"/>
        <n v="0.13517919809886983"/>
        <n v="0.13498547567175018"/>
        <n v="0.13493953401503478"/>
        <n v="0.13387048227640017"/>
        <n v="0.13351302785265048"/>
        <n v="0.13331166419019316"/>
        <n v="0.13106060606060607"/>
        <n v="0.12943516308671441"/>
        <n v="0.12942500000000001"/>
        <n v="0.12936184657162253"/>
        <n v="0.12896028558679162"/>
        <n v="0.12885405960945528"/>
        <n v="0.1283706906360223"/>
        <n v="0.12781331438047855"/>
        <n v="0.12577012959422137"/>
        <n v="0.12575841147269717"/>
        <n v="0.12537731780940059"/>
        <n v="0.12490884163239112"/>
        <n v="0.12428384068475185"/>
        <n v="0.12353896103896105"/>
        <n v="0.123309241094476"/>
        <n v="0.12277759141227776"/>
        <n v="0.12232704402515723"/>
        <n v="0.12131237937689551"/>
        <n v="0.11996283514733209"/>
        <n v="0.1199202926956749"/>
        <n v="0.11990720603160794"/>
        <n v="0.11879910213243547"/>
        <n v="0.11861662987490802"/>
        <n v="0.11792317271769326"/>
        <n v="0.11619462599854757"/>
        <n v="0.11571269132653061"/>
        <n v="0.11508145034156594"/>
        <n v="0.11489268506351293"/>
        <n v="0.11465952405480581"/>
        <n v="0.11369088028965829"/>
        <n v="0.11307081114118571"/>
        <n v="0.11238095238095239"/>
        <n v="0.11232349165596919"/>
        <n v="0.11143487163332809"/>
        <n v="0.11114018842096787"/>
        <n v="0.10977802753582468"/>
        <n v="0.1095786671562328"/>
        <n v="0.10793717277486911"/>
        <n v="0.10768685795253277"/>
        <n v="0.1071650124069479"/>
        <n v="0.10617801791554102"/>
        <n v="0.1043848167539267"/>
        <n v="0.10340359564080613"/>
        <n v="0.10339256865912763"/>
        <n v="0.10297222222222223"/>
        <n v="0.10132030477519921"/>
        <n v="0.10086880280567512"/>
        <n v="0.10034235916588857"/>
        <n v="0.10005698005698006"/>
        <n v="9.9829463465827106E-2"/>
        <n v="9.9632815002833983E-2"/>
        <n v="9.9578134817341346E-2"/>
        <n v="9.9255211647142488E-2"/>
        <n v="9.859917557465242E-2"/>
        <n v="9.8558100084817649E-2"/>
        <n v="9.8068107400130972E-2"/>
        <n v="9.7700431949264685E-2"/>
        <n v="9.7001272669424113E-2"/>
        <n v="9.5290736237010829E-2"/>
        <n v="9.4413295955146179E-2"/>
        <n v="9.4235532537716729E-2"/>
        <n v="9.422796795338674E-2"/>
        <n v="9.3421052631578946E-2"/>
        <n v="9.2726081258191345E-2"/>
        <n v="9.2298980747451867E-2"/>
        <n v="9.1897770527460579E-2"/>
        <n v="9.1365878393951966E-2"/>
        <n v="9.1137810638734856E-2"/>
        <n v="9.0759753593429152E-2"/>
        <n v="9.0606816292601824E-2"/>
        <n v="9.023070704558174E-2"/>
        <n v="8.9730807577268201E-2"/>
        <n v="8.9577656675749323E-2"/>
        <n v="8.860696018453515E-2"/>
        <n v="8.837126600284495E-2"/>
        <n v="8.8019732205778717E-2"/>
        <n v="8.7752275425405618E-2"/>
        <n v="8.7733440816874911E-2"/>
        <n v="8.7668609086629767E-2"/>
        <n v="8.6897539284772202E-2"/>
        <n v="8.6737756939878216E-2"/>
        <n v="8.6630570595585168E-2"/>
        <n v="8.6537809426924378E-2"/>
        <n v="8.6293505561535699E-2"/>
        <n v="8.5734265734265735E-2"/>
        <n v="8.5718409468138843E-2"/>
        <n v="8.558620689655172E-2"/>
        <n v="8.5520696919660646E-2"/>
        <n v="8.4946236559139784E-2"/>
        <n v="8.4862714173059003E-2"/>
        <n v="8.4203612479474554E-2"/>
        <n v="8.4062694239588759E-2"/>
        <n v="8.3921940869371006E-2"/>
        <n v="8.3726921425504502E-2"/>
        <n v="8.3539958039290485E-2"/>
        <n v="8.3274853801169585E-2"/>
        <n v="8.2835359571399134E-2"/>
        <n v="8.2753164556962022E-2"/>
        <n v="8.21914819340199E-2"/>
        <n v="8.2108498129342594E-2"/>
        <n v="8.2075471698113203E-2"/>
        <n v="8.2047718322909427E-2"/>
        <n v="8.1808097615085965E-2"/>
        <n v="8.1177520071364848E-2"/>
        <n v="8.0862831858407078E-2"/>
        <n v="8.0565268065268064E-2"/>
        <n v="8.0294585987261149E-2"/>
        <n v="8.0158206987475278E-2"/>
        <n v="7.9915048543689318E-2"/>
        <n v="7.984956452889945E-2"/>
        <n v="7.8849599245638849E-2"/>
        <n v="7.8689839572192513E-2"/>
        <n v="7.7533348349475686E-2"/>
        <n v="7.7512577512577507E-2"/>
        <n v="7.7291421856639245E-2"/>
        <n v="7.7249552156538517E-2"/>
        <n v="7.6867995018679955E-2"/>
        <n v="7.6523535487678915E-2"/>
        <n v="7.6097681302417369E-2"/>
        <n v="7.5968222442899705E-2"/>
        <n v="7.5868578363072495E-2"/>
        <n v="7.5843713789107758E-2"/>
        <n v="7.5280481001673588E-2"/>
        <n v="7.5229902106199939E-2"/>
        <n v="7.412002573292896E-2"/>
        <n v="7.4071349760941527E-2"/>
        <n v="7.3707865168539333E-2"/>
        <n v="7.349527665317139E-2"/>
        <n v="7.3170731707317069E-2"/>
        <n v="7.3018902217375503E-2"/>
        <n v="7.2969143576826198E-2"/>
        <n v="7.2739802071170159E-2"/>
        <n v="7.2579365079365077E-2"/>
        <n v="7.2503306878306875E-2"/>
        <n v="7.2126493695121141E-2"/>
        <n v="7.2116777745580993E-2"/>
        <n v="7.2070332803659209E-2"/>
        <n v="7.2000119875329657E-2"/>
        <n v="7.198635172059864E-2"/>
        <n v="7.1956537279290869E-2"/>
        <n v="7.172350922350923E-2"/>
        <n v="7.1501685934489398E-2"/>
        <n v="7.1133744304476013E-2"/>
        <n v="7.0822181933293038E-2"/>
        <n v="7.055421038471886E-2"/>
        <n v="7.0272020725388601E-2"/>
        <n v="6.9438087973557078E-2"/>
        <n v="6.9311459413307311E-2"/>
        <n v="6.8655003457763777E-2"/>
        <n v="6.8108806480899509E-2"/>
        <n v="6.800325430032543E-2"/>
        <n v="6.7234398994834563E-2"/>
        <n v="6.7103868574456813E-2"/>
        <n v="6.5617093055946027E-2"/>
        <n v="6.5515821264328367E-2"/>
        <n v="6.5455787978772245E-2"/>
        <n v="6.4884520656164318E-2"/>
        <n v="6.461481657304112E-2"/>
        <n v="6.4265122330790625E-2"/>
        <n v="6.3947934081681396E-2"/>
        <n v="6.3809622724794221E-2"/>
        <n v="6.3749764195434822E-2"/>
        <n v="6.3713620488940623E-2"/>
        <n v="6.3118551273952411E-2"/>
        <n v="6.2603126356925748E-2"/>
        <n v="6.246991874522239E-2"/>
        <n v="6.2467323109097243E-2"/>
        <n v="6.2150491965739366E-2"/>
        <n v="6.2129685107516146E-2"/>
        <n v="5.9928644240570844E-2"/>
        <n v="5.9496567505720827E-2"/>
        <n v="5.941358024691358E-2"/>
        <n v="5.9387824897400819E-2"/>
        <n v="5.8563792702765516E-2"/>
        <n v="5.8316766070245198E-2"/>
        <n v="5.8243321401216137E-2"/>
        <n v="5.7936488444630008E-2"/>
        <n v="5.7655717106444085E-2"/>
        <n v="5.7332570758993957E-2"/>
        <n v="5.6653298485940883E-2"/>
        <n v="5.6416400425985093E-2"/>
        <n v="5.5909322465613857E-2"/>
        <n v="5.5531494209584788E-2"/>
        <n v="5.4081095313322801E-2"/>
        <n v="5.2551586421122697E-2"/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Ultimate" refreshedDate="45926.777146180553" createdVersion="3" refreshedVersion="3" minRefreshableVersion="3" recordCount="208">
  <cacheSource type="worksheet">
    <worksheetSource ref="A1:G1048576" sheet="Engagement Summary"/>
  </cacheSource>
  <cacheFields count="7">
    <cacheField name="Week_Start_Date" numFmtId="14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</cacheField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Follower_Growth_Rate" numFmtId="0">
      <sharedItems containsString="0" containsBlank="1" containsNumber="1" minValue="-0.4081978730104896" maxValue="10.825114265095021"/>
    </cacheField>
    <cacheField name="Engagement_Rate" numFmtId="0">
      <sharedItems containsString="0" containsBlank="1" containsNumber="1" minValue="1.53" maxValue="9.48"/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Ultimate" refreshedDate="45926.783998726853" createdVersion="3" refreshedVersion="3" minRefreshableVersion="3" recordCount="208">
  <cacheSource type="worksheet">
    <worksheetSource ref="A1:K1048576" sheet="Engagement Summary"/>
  </cacheSource>
  <cacheFields count="11">
    <cacheField name="Week_Start_Date" numFmtId="14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</cacheField>
    <cacheField name="Platform" numFmtId="0">
      <sharedItems containsBlank="1"/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Follower_Growth_Rate" numFmtId="0">
      <sharedItems containsString="0" containsBlank="1" containsNumber="1" minValue="-0.4081978730104896" maxValue="10.825114265095021"/>
    </cacheField>
    <cacheField name="Engagement_Rate" numFmtId="0">
      <sharedItems containsString="0" containsBlank="1" containsNumber="1" minValue="1.53" maxValue="9.48"/>
    </cacheField>
    <cacheField name="Engagement" numFmtId="0">
      <sharedItems containsString="0" containsBlank="1" containsNumber="1" minValue="153" maxValue="948"/>
    </cacheField>
    <cacheField name="Ad_Spend" numFmtId="0">
      <sharedItems containsString="0" containsBlank="1" containsNumber="1" containsInteger="1" minValue="1083" maxValue="49772"/>
    </cacheField>
    <cacheField name="Platform2" numFmtId="0">
      <sharedItems containsBlank="1"/>
    </cacheField>
    <cacheField name="Followers_Gain" numFmtId="0">
      <sharedItems containsString="0" containsBlank="1" containsNumber="1" containsInteger="1" minValue="-337" maxValue="1881"/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refreshedBy="Ultimate" refreshedDate="45930.489706134256" createdVersion="3" refreshedVersion="3" minRefreshableVersion="3" recordCount="208">
  <cacheSource type="worksheet">
    <worksheetSource ref="L1:M1048576" sheet="Engagement Summary"/>
  </cacheSource>
  <cacheFields count="2">
    <cacheField name="ROI" numFmtId="0">
      <sharedItems containsString="0" containsBlank="1" containsNumber="1" minValue="3.117549972492206E-3" maxValue="0.29350196249454863"/>
    </cacheField>
    <cacheField name="Campaign_Name" numFmtId="0">
      <sharedItems containsBlank="1" count="5">
        <s v="SustainabilityDrive"/>
        <s v="ModelYCampaign"/>
        <s v="CybertruckLaunch"/>
        <s v="FSDUpdate"/>
        <m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r:id="rId1" refreshedBy="Ultimate" refreshedDate="45930.493562268515" createdVersion="3" refreshedVersion="3" minRefreshableVersion="3" recordCount="208">
  <cacheSource type="worksheet">
    <worksheetSource ref="C1:M1048576" sheet="Engagement Summary"/>
  </cacheSource>
  <cacheFields count="12"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Follower_Growth_Rate" numFmtId="0">
      <sharedItems containsString="0" containsBlank="1" containsNumber="1" minValue="-0.4081978730104896" maxValue="10.825114265095021"/>
    </cacheField>
    <cacheField name="Engagement_Rate" numFmtId="0">
      <sharedItems containsString="0" containsBlank="1" containsNumber="1" minValue="1.53" maxValue="9.48"/>
    </cacheField>
    <cacheField name="Engagement" numFmtId="0">
      <sharedItems containsString="0" containsBlank="1" containsNumber="1" minValue="153" maxValue="948"/>
    </cacheField>
    <cacheField name="Ad_Spend" numFmtId="0">
      <sharedItems containsString="0" containsBlank="1" containsNumber="1" containsInteger="1" minValue="1083" maxValue="49772"/>
    </cacheField>
    <cacheField name="Follower_Growth_Rate2" numFmtId="0">
      <sharedItems containsString="0" containsBlank="1" containsNumber="1" minValue="-29.056694286960312" maxValue="-0.30863744727672837"/>
    </cacheField>
    <cacheField name="Platform" numFmtId="0">
      <sharedItems containsBlank="1"/>
    </cacheField>
    <cacheField name="Followers_Gain" numFmtId="0">
      <sharedItems containsString="0" containsBlank="1" containsNumber="1" containsInteger="1" minValue="-337" maxValue="1881"/>
    </cacheField>
    <cacheField name="ROI" numFmtId="0">
      <sharedItems containsString="0" containsBlank="1" containsNumber="1" minValue="3.117549972492206E-3" maxValue="0.29350196249454863"/>
    </cacheField>
    <cacheField name="Campaign_Name" numFmtId="0">
      <sharedItems containsBlank="1" count="5">
        <s v="SustainabilityDrive"/>
        <s v="ModelYCampaign"/>
        <s v="CybertruckLaunch"/>
        <s v="FSDUpdate"/>
        <m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r:id="rId1" refreshedBy="Ultimate" refreshedDate="45933.708714814813" createdVersion="3" refreshedVersion="3" minRefreshableVersion="3" recordCount="208">
  <cacheSource type="worksheet">
    <worksheetSource ref="A1:F1048576" sheet="Engagement Summary"/>
  </cacheSource>
  <cacheFields count="6">
    <cacheField name="Week_Start_Date" numFmtId="14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</cacheField>
    <cacheField name="Platform" numFmtId="0">
      <sharedItems containsBlank="1"/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Follower_Growth_Rate" numFmtId="0">
      <sharedItems containsString="0" containsBlank="1" containsNumber="1" minValue="-0.4081978730104896" maxValue="10.82511426509502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P220"/>
    <x v="0"/>
    <d v="2024-06-02T00:00:00"/>
    <x v="0"/>
    <s v="Check out our latest story on instagram!"/>
    <n v="84"/>
    <n v="897"/>
    <n v="85"/>
    <n v="588"/>
    <n v="8"/>
    <n v="12"/>
  </r>
  <r>
    <s v="P058"/>
    <x v="0"/>
    <d v="2025-04-15T00:00:00"/>
    <x v="1"/>
    <s v="Check out our latest reel on instagram!"/>
    <n v="103"/>
    <n v="770"/>
    <n v="19"/>
    <n v="1030"/>
    <n v="410"/>
    <n v="262"/>
  </r>
  <r>
    <s v="P232"/>
    <x v="1"/>
    <d v="2025-04-29T00:00:00"/>
    <x v="0"/>
    <s v="Check out our latest story on twitter!"/>
    <n v="249"/>
    <n v="592"/>
    <n v="230"/>
    <n v="1494"/>
    <n v="1044"/>
    <n v="201"/>
  </r>
  <r>
    <s v="P178"/>
    <x v="0"/>
    <d v="2024-11-07T00:00:00"/>
    <x v="2"/>
    <s v="Check out our latest video on instagram!"/>
    <n v="129"/>
    <n v="643"/>
    <n v="136"/>
    <n v="1290"/>
    <n v="839"/>
    <n v="238"/>
  </r>
  <r>
    <s v="P175"/>
    <x v="0"/>
    <d v="2025-01-17T00:00:00"/>
    <x v="1"/>
    <s v="Check out our latest reel on instagram!"/>
    <n v="142"/>
    <n v="784"/>
    <n v="183"/>
    <n v="1704"/>
    <n v="995"/>
    <n v="154"/>
  </r>
  <r>
    <s v="P062"/>
    <x v="1"/>
    <d v="2024-11-22T00:00:00"/>
    <x v="3"/>
    <s v="Check out our latest carousel on twitter!"/>
    <n v="53"/>
    <n v="81"/>
    <n v="379"/>
    <n v="954"/>
    <n v="7"/>
    <n v="148"/>
  </r>
  <r>
    <s v="P264"/>
    <x v="1"/>
    <d v="2025-01-30T00:00:00"/>
    <x v="4"/>
    <s v="Check out our latest image on twitter!"/>
    <n v="59"/>
    <n v="163"/>
    <n v="93"/>
    <n v="590"/>
    <n v="475"/>
    <n v="293"/>
  </r>
  <r>
    <s v="P143"/>
    <x v="2"/>
    <d v="2024-10-02T00:00:00"/>
    <x v="3"/>
    <s v="Check out our latest carousel on youtube!"/>
    <n v="80"/>
    <n v="362"/>
    <n v="80"/>
    <n v="1040"/>
    <n v="349"/>
    <n v="117"/>
  </r>
  <r>
    <s v="P210"/>
    <x v="2"/>
    <d v="2025-02-19T00:00:00"/>
    <x v="4"/>
    <s v="Check out our latest image on youtube!"/>
    <n v="257"/>
    <n v="966"/>
    <n v="398"/>
    <n v="3341"/>
    <n v="2753"/>
    <n v="287"/>
  </r>
  <r>
    <s v="P070"/>
    <x v="3"/>
    <d v="2025-04-02T00:00:00"/>
    <x v="2"/>
    <s v="Check out our latest video on facebook!"/>
    <n v="199"/>
    <n v="772"/>
    <n v="400"/>
    <n v="3582"/>
    <n v="2988"/>
    <n v="43"/>
  </r>
  <r>
    <s v="P214"/>
    <x v="0"/>
    <d v="2024-12-23T00:00:00"/>
    <x v="4"/>
    <s v="Check out our latest image on instagram!"/>
    <n v="521"/>
    <n v="746"/>
    <n v="315"/>
    <n v="4168"/>
    <n v="3399"/>
    <n v="282"/>
  </r>
  <r>
    <s v="P053"/>
    <x v="2"/>
    <d v="2025-02-24T00:00:00"/>
    <x v="3"/>
    <s v="Check out our latest carousel on youtube!"/>
    <n v="804"/>
    <n v="639"/>
    <n v="43"/>
    <n v="4020"/>
    <n v="3144"/>
    <n v="11"/>
  </r>
  <r>
    <s v="P102"/>
    <x v="1"/>
    <d v="2024-09-18T00:00:00"/>
    <x v="1"/>
    <s v="Check out our latest reel on twitter!"/>
    <n v="1000"/>
    <n v="978"/>
    <n v="162"/>
    <n v="6000"/>
    <n v="5221"/>
    <n v="223"/>
  </r>
  <r>
    <s v="P124"/>
    <x v="2"/>
    <d v="2025-04-06T00:00:00"/>
    <x v="3"/>
    <s v="Check out our latest carousel on youtube!"/>
    <n v="736"/>
    <n v="771"/>
    <n v="225"/>
    <n v="5152"/>
    <n v="4706"/>
    <n v="19"/>
  </r>
  <r>
    <s v="P121"/>
    <x v="0"/>
    <d v="2024-07-29T00:00:00"/>
    <x v="0"/>
    <s v="Check out our latest story on instagram!"/>
    <n v="498"/>
    <n v="701"/>
    <n v="412"/>
    <n v="4980"/>
    <n v="4185"/>
    <n v="185"/>
  </r>
  <r>
    <s v="P224"/>
    <x v="3"/>
    <d v="2025-05-13T00:00:00"/>
    <x v="4"/>
    <s v="Check out our latest image on facebook!"/>
    <n v="602"/>
    <n v="594"/>
    <n v="156"/>
    <n v="4214"/>
    <n v="3363"/>
    <n v="164"/>
  </r>
  <r>
    <s v="P154"/>
    <x v="0"/>
    <d v="2024-10-09T00:00:00"/>
    <x v="3"/>
    <s v="Check out our latest carousel on instagram!"/>
    <n v="985"/>
    <n v="932"/>
    <n v="287"/>
    <n v="6895"/>
    <n v="6757"/>
    <n v="64"/>
  </r>
  <r>
    <s v="P119"/>
    <x v="0"/>
    <d v="2025-02-07T00:00:00"/>
    <x v="1"/>
    <s v="Check out our latest reel on instagram!"/>
    <n v="1970"/>
    <n v="675"/>
    <n v="478"/>
    <n v="9850"/>
    <n v="8924"/>
    <n v="117"/>
  </r>
  <r>
    <s v="P287"/>
    <x v="0"/>
    <d v="2024-08-15T00:00:00"/>
    <x v="1"/>
    <s v="Check out our latest reel on instagram!"/>
    <n v="1164"/>
    <n v="616"/>
    <n v="324"/>
    <n v="6984"/>
    <n v="6636"/>
    <n v="82"/>
  </r>
  <r>
    <s v="P204"/>
    <x v="0"/>
    <d v="2025-01-01T00:00:00"/>
    <x v="3"/>
    <s v="Check out our latest carousel on instagram!"/>
    <n v="2234"/>
    <n v="653"/>
    <n v="432"/>
    <n v="11170"/>
    <n v="10569"/>
    <n v="198"/>
  </r>
  <r>
    <s v="P066"/>
    <x v="1"/>
    <d v="2024-07-26T00:00:00"/>
    <x v="3"/>
    <s v="Check out our latest carousel on twitter!"/>
    <n v="432"/>
    <n v="171"/>
    <n v="280"/>
    <n v="3024"/>
    <n v="2285"/>
    <n v="184"/>
  </r>
  <r>
    <s v="P183"/>
    <x v="0"/>
    <d v="2024-12-17T00:00:00"/>
    <x v="0"/>
    <s v="Check out our latest story on instagram!"/>
    <n v="360"/>
    <n v="590"/>
    <n v="393"/>
    <n v="4680"/>
    <n v="4322"/>
    <n v="208"/>
  </r>
  <r>
    <s v="P031"/>
    <x v="0"/>
    <d v="2024-12-16T00:00:00"/>
    <x v="5"/>
    <s v="Check out our latest text on instagram!"/>
    <n v="438"/>
    <n v="153"/>
    <n v="275"/>
    <n v="3066"/>
    <n v="2701"/>
    <n v="282"/>
  </r>
  <r>
    <s v="P093"/>
    <x v="0"/>
    <d v="2024-12-11T00:00:00"/>
    <x v="2"/>
    <s v="Check out our latest video on instagram!"/>
    <n v="1431"/>
    <n v="951"/>
    <n v="26"/>
    <n v="8586"/>
    <n v="8396"/>
    <n v="150"/>
  </r>
  <r>
    <s v="P263"/>
    <x v="0"/>
    <d v="2024-08-20T00:00:00"/>
    <x v="1"/>
    <s v="Check out our latest reel on instagram!"/>
    <n v="2603"/>
    <n v="690"/>
    <n v="205"/>
    <n v="13015"/>
    <n v="12130"/>
    <n v="20"/>
  </r>
  <r>
    <s v="P248"/>
    <x v="3"/>
    <d v="2025-02-02T00:00:00"/>
    <x v="0"/>
    <s v="Check out our latest story on facebook!"/>
    <n v="886"/>
    <n v="126"/>
    <n v="153"/>
    <n v="4430"/>
    <n v="4037"/>
    <n v="212"/>
  </r>
  <r>
    <s v="P244"/>
    <x v="2"/>
    <d v="2024-10-25T00:00:00"/>
    <x v="2"/>
    <s v="Check out our latest video on youtube!"/>
    <n v="4661"/>
    <n v="935"/>
    <n v="433"/>
    <n v="23305"/>
    <n v="22583"/>
    <n v="63"/>
  </r>
  <r>
    <s v="P259"/>
    <x v="3"/>
    <d v="2025-02-10T00:00:00"/>
    <x v="5"/>
    <s v="Check out our latest text on facebook!"/>
    <n v="562"/>
    <n v="158"/>
    <n v="149"/>
    <n v="3372"/>
    <n v="2940"/>
    <n v="93"/>
  </r>
  <r>
    <s v="P219"/>
    <x v="1"/>
    <d v="2025-01-28T00:00:00"/>
    <x v="1"/>
    <s v="Check out our latest reel on twitter!"/>
    <n v="1188"/>
    <n v="470"/>
    <n v="174"/>
    <n v="7128"/>
    <n v="6145"/>
    <n v="270"/>
  </r>
  <r>
    <s v="P226"/>
    <x v="0"/>
    <d v="2024-08-07T00:00:00"/>
    <x v="3"/>
    <s v="Check out our latest carousel on instagram!"/>
    <n v="1741"/>
    <n v="164"/>
    <n v="318"/>
    <n v="8705"/>
    <n v="8272"/>
    <n v="121"/>
  </r>
  <r>
    <s v="P265"/>
    <x v="1"/>
    <d v="2025-02-20T00:00:00"/>
    <x v="3"/>
    <s v="Check out our latest carousel on twitter!"/>
    <n v="1877"/>
    <n v="745"/>
    <n v="225"/>
    <n v="11262"/>
    <n v="10967"/>
    <n v="41"/>
  </r>
  <r>
    <s v="P239"/>
    <x v="2"/>
    <d v="2025-02-24T00:00:00"/>
    <x v="5"/>
    <s v="Check out our latest text on youtube!"/>
    <n v="4188"/>
    <n v="942"/>
    <n v="118"/>
    <n v="20940"/>
    <n v="20471"/>
    <n v="102"/>
  </r>
  <r>
    <s v="P277"/>
    <x v="3"/>
    <d v="2025-04-06T00:00:00"/>
    <x v="4"/>
    <s v="Check out our latest image on facebook!"/>
    <n v="4236"/>
    <n v="711"/>
    <n v="298"/>
    <n v="21180"/>
    <n v="20516"/>
    <n v="238"/>
  </r>
  <r>
    <s v="P297"/>
    <x v="1"/>
    <d v="2024-12-24T00:00:00"/>
    <x v="5"/>
    <s v="Check out our latest text on twitter!"/>
    <n v="2166"/>
    <n v="354"/>
    <n v="117"/>
    <n v="10830"/>
    <n v="10245"/>
    <n v="24"/>
  </r>
  <r>
    <s v="P181"/>
    <x v="2"/>
    <d v="2025-03-21T00:00:00"/>
    <x v="4"/>
    <s v="Check out our latest image on youtube!"/>
    <n v="606"/>
    <n v="789"/>
    <n v="470"/>
    <n v="7878"/>
    <n v="7389"/>
    <n v="239"/>
  </r>
  <r>
    <s v="P246"/>
    <x v="3"/>
    <d v="2024-10-11T00:00:00"/>
    <x v="4"/>
    <s v="Check out our latest image on facebook!"/>
    <n v="400"/>
    <n v="680"/>
    <n v="434"/>
    <n v="6400"/>
    <n v="5472"/>
    <n v="160"/>
  </r>
  <r>
    <s v="P123"/>
    <x v="0"/>
    <d v="2024-06-14T00:00:00"/>
    <x v="0"/>
    <s v="Check out our latest story on instagram!"/>
    <n v="4363"/>
    <n v="649"/>
    <n v="140"/>
    <n v="21815"/>
    <n v="21481"/>
    <n v="157"/>
  </r>
  <r>
    <s v="P120"/>
    <x v="3"/>
    <d v="2024-10-21T00:00:00"/>
    <x v="0"/>
    <s v="Check out our latest story on facebook!"/>
    <n v="780"/>
    <n v="928"/>
    <n v="301"/>
    <n v="8580"/>
    <n v="8081"/>
    <n v="91"/>
  </r>
  <r>
    <s v="P141"/>
    <x v="1"/>
    <d v="2024-08-31T00:00:00"/>
    <x v="4"/>
    <s v="Check out our latest image on twitter!"/>
    <n v="3170"/>
    <n v="857"/>
    <n v="379"/>
    <n v="19020"/>
    <n v="18559"/>
    <n v="240"/>
  </r>
  <r>
    <s v="P163"/>
    <x v="0"/>
    <d v="2025-04-08T00:00:00"/>
    <x v="4"/>
    <s v="Check out our latest image on instagram!"/>
    <n v="4501"/>
    <n v="375"/>
    <n v="323"/>
    <n v="22505"/>
    <n v="21836"/>
    <n v="132"/>
  </r>
  <r>
    <s v="P269"/>
    <x v="0"/>
    <d v="2024-11-05T00:00:00"/>
    <x v="2"/>
    <s v="Check out our latest video on instagram!"/>
    <n v="4561"/>
    <n v="51"/>
    <n v="441"/>
    <n v="22805"/>
    <n v="21890"/>
    <n v="45"/>
  </r>
  <r>
    <s v="P042"/>
    <x v="2"/>
    <d v="2025-03-05T00:00:00"/>
    <x v="1"/>
    <s v="Check out our latest reel on youtube!"/>
    <n v="1543"/>
    <n v="820"/>
    <n v="333"/>
    <n v="12344"/>
    <n v="11496"/>
    <n v="241"/>
  </r>
  <r>
    <s v="P043"/>
    <x v="0"/>
    <d v="2024-12-14T00:00:00"/>
    <x v="3"/>
    <s v="Check out our latest carousel on instagram!"/>
    <n v="2174"/>
    <n v="658"/>
    <n v="15"/>
    <n v="13044"/>
    <n v="12206"/>
    <n v="137"/>
  </r>
  <r>
    <s v="P159"/>
    <x v="3"/>
    <d v="2024-11-25T00:00:00"/>
    <x v="0"/>
    <s v="Check out our latest story on facebook!"/>
    <n v="2120"/>
    <n v="158"/>
    <n v="488"/>
    <n v="12720"/>
    <n v="12085"/>
    <n v="17"/>
  </r>
  <r>
    <s v="P146"/>
    <x v="2"/>
    <d v="2024-06-05T00:00:00"/>
    <x v="1"/>
    <s v="Check out our latest reel on youtube!"/>
    <n v="3065"/>
    <n v="772"/>
    <n v="142"/>
    <n v="18390"/>
    <n v="17875"/>
    <n v="200"/>
  </r>
  <r>
    <s v="P029"/>
    <x v="0"/>
    <d v="2025-01-31T00:00:00"/>
    <x v="3"/>
    <s v="Check out our latest carousel on instagram!"/>
    <n v="2566"/>
    <n v="118"/>
    <n v="37"/>
    <n v="12830"/>
    <n v="12264"/>
    <n v="221"/>
  </r>
  <r>
    <s v="P137"/>
    <x v="3"/>
    <d v="2024-07-31T00:00:00"/>
    <x v="2"/>
    <s v="Check out our latest video on facebook!"/>
    <n v="3008"/>
    <n v="94"/>
    <n v="37"/>
    <n v="15040"/>
    <n v="14639"/>
    <n v="277"/>
  </r>
  <r>
    <s v="P087"/>
    <x v="1"/>
    <d v="2024-06-06T00:00:00"/>
    <x v="2"/>
    <s v="Check out our latest video on twitter!"/>
    <n v="1436"/>
    <n v="765"/>
    <n v="496"/>
    <n v="12924"/>
    <n v="12701"/>
    <n v="197"/>
  </r>
  <r>
    <s v="P271"/>
    <x v="0"/>
    <d v="2024-10-17T00:00:00"/>
    <x v="2"/>
    <s v="Check out our latest video on instagram!"/>
    <n v="3575"/>
    <n v="749"/>
    <n v="111"/>
    <n v="21450"/>
    <n v="20785"/>
    <n v="195"/>
  </r>
  <r>
    <s v="P077"/>
    <x v="3"/>
    <d v="2025-03-04T00:00:00"/>
    <x v="0"/>
    <s v="Check out our latest story on facebook!"/>
    <n v="1249"/>
    <n v="116"/>
    <n v="420"/>
    <n v="8743"/>
    <n v="8538"/>
    <n v="63"/>
  </r>
  <r>
    <s v="P136"/>
    <x v="0"/>
    <d v="2024-07-11T00:00:00"/>
    <x v="5"/>
    <s v="Check out our latest text on instagram!"/>
    <n v="3134"/>
    <n v="888"/>
    <n v="444"/>
    <n v="21938"/>
    <n v="21337"/>
    <n v="130"/>
  </r>
  <r>
    <s v="P258"/>
    <x v="0"/>
    <d v="2024-08-05T00:00:00"/>
    <x v="0"/>
    <s v="Check out our latest story on instagram!"/>
    <n v="3601"/>
    <n v="695"/>
    <n v="75"/>
    <n v="21606"/>
    <n v="21454"/>
    <n v="172"/>
  </r>
  <r>
    <s v="P276"/>
    <x v="1"/>
    <d v="2024-06-07T00:00:00"/>
    <x v="3"/>
    <s v="Check out our latest carousel on twitter!"/>
    <n v="1556"/>
    <n v="195"/>
    <n v="131"/>
    <n v="9336"/>
    <n v="8875"/>
    <n v="137"/>
  </r>
  <r>
    <s v="P148"/>
    <x v="0"/>
    <d v="2025-04-15T00:00:00"/>
    <x v="2"/>
    <s v="Check out our latest video on instagram!"/>
    <n v="4133"/>
    <n v="466"/>
    <n v="327"/>
    <n v="24798"/>
    <n v="24620"/>
    <n v="176"/>
  </r>
  <r>
    <s v="P198"/>
    <x v="1"/>
    <d v="2024-09-14T00:00:00"/>
    <x v="4"/>
    <s v="Check out our latest image on twitter!"/>
    <n v="1048"/>
    <n v="374"/>
    <n v="450"/>
    <n v="9432"/>
    <n v="8882"/>
    <n v="158"/>
  </r>
  <r>
    <s v="P152"/>
    <x v="3"/>
    <d v="2025-04-22T00:00:00"/>
    <x v="4"/>
    <s v="Check out our latest image on facebook!"/>
    <n v="4804"/>
    <n v="550"/>
    <n v="270"/>
    <n v="28824"/>
    <n v="28370"/>
    <n v="47"/>
  </r>
  <r>
    <s v="P286"/>
    <x v="2"/>
    <d v="2024-09-25T00:00:00"/>
    <x v="2"/>
    <s v="Check out our latest video on youtube!"/>
    <n v="3389"/>
    <n v="344"/>
    <n v="229"/>
    <n v="20334"/>
    <n v="19443"/>
    <n v="228"/>
  </r>
  <r>
    <s v="P068"/>
    <x v="0"/>
    <d v="2024-12-08T00:00:00"/>
    <x v="0"/>
    <s v="Check out our latest story on instagram!"/>
    <n v="2610"/>
    <n v="126"/>
    <n v="288"/>
    <n v="15660"/>
    <n v="15145"/>
    <n v="73"/>
  </r>
  <r>
    <s v="P085"/>
    <x v="0"/>
    <d v="2025-04-19T00:00:00"/>
    <x v="4"/>
    <s v="Check out our latest image on instagram!"/>
    <n v="4177"/>
    <n v="569"/>
    <n v="55"/>
    <n v="25062"/>
    <n v="24847"/>
    <n v="230"/>
  </r>
  <r>
    <s v="P032"/>
    <x v="1"/>
    <d v="2024-07-31T00:00:00"/>
    <x v="3"/>
    <s v="Check out our latest carousel on twitter!"/>
    <n v="2278"/>
    <n v="10"/>
    <n v="321"/>
    <n v="13668"/>
    <n v="12676"/>
    <n v="275"/>
  </r>
  <r>
    <s v="P218"/>
    <x v="3"/>
    <d v="2024-06-11T00:00:00"/>
    <x v="3"/>
    <s v="Check out our latest carousel on facebook!"/>
    <n v="1869"/>
    <n v="453"/>
    <n v="490"/>
    <n v="14952"/>
    <n v="14309"/>
    <n v="275"/>
  </r>
  <r>
    <s v="P211"/>
    <x v="1"/>
    <d v="2024-07-18T00:00:00"/>
    <x v="3"/>
    <s v="Check out our latest carousel on twitter!"/>
    <n v="2120"/>
    <n v="38"/>
    <n v="212"/>
    <n v="12720"/>
    <n v="12564"/>
    <n v="21"/>
  </r>
  <r>
    <s v="P242"/>
    <x v="3"/>
    <d v="2024-07-07T00:00:00"/>
    <x v="1"/>
    <s v="Check out our latest reel on facebook!"/>
    <n v="4767"/>
    <n v="190"/>
    <n v="340"/>
    <n v="28602"/>
    <n v="28044"/>
    <n v="210"/>
  </r>
  <r>
    <s v="P041"/>
    <x v="0"/>
    <d v="2025-03-08T00:00:00"/>
    <x v="1"/>
    <s v="Check out our latest reel on instagram!"/>
    <n v="456"/>
    <n v="629"/>
    <n v="428"/>
    <n v="8208"/>
    <n v="7377"/>
    <n v="205"/>
  </r>
  <r>
    <s v="P294"/>
    <x v="3"/>
    <d v="2024-06-19T00:00:00"/>
    <x v="3"/>
    <s v="Check out our latest carousel on facebook!"/>
    <n v="4731"/>
    <n v="173"/>
    <n v="276"/>
    <n v="28386"/>
    <n v="28185"/>
    <n v="89"/>
  </r>
  <r>
    <s v="P006"/>
    <x v="3"/>
    <d v="2024-10-31T00:00:00"/>
    <x v="3"/>
    <s v="Check out our latest carousel on facebook!"/>
    <n v="2945"/>
    <n v="930"/>
    <n v="355"/>
    <n v="23560"/>
    <n v="23275"/>
    <n v="256"/>
  </r>
  <r>
    <s v="P153"/>
    <x v="1"/>
    <d v="2025-01-01T00:00:00"/>
    <x v="2"/>
    <s v="Check out our latest video on twitter!"/>
    <n v="754"/>
    <n v="197"/>
    <n v="257"/>
    <n v="6786"/>
    <n v="6221"/>
    <n v="212"/>
  </r>
  <r>
    <s v="P037"/>
    <x v="3"/>
    <d v="2025-01-06T00:00:00"/>
    <x v="3"/>
    <s v="Check out our latest carousel on facebook!"/>
    <n v="3024"/>
    <n v="925"/>
    <n v="350"/>
    <n v="24192"/>
    <n v="23518"/>
    <n v="36"/>
  </r>
  <r>
    <s v="P241"/>
    <x v="3"/>
    <d v="2025-01-18T00:00:00"/>
    <x v="0"/>
    <s v="Check out our latest story on facebook!"/>
    <n v="4321"/>
    <n v="874"/>
    <n v="172"/>
    <n v="30247"/>
    <n v="29254"/>
    <n v="122"/>
  </r>
  <r>
    <s v="P112"/>
    <x v="1"/>
    <d v="2024-10-05T00:00:00"/>
    <x v="0"/>
    <s v="Check out our latest story on twitter!"/>
    <n v="1957"/>
    <n v="877"/>
    <n v="238"/>
    <n v="17613"/>
    <n v="16865"/>
    <n v="297"/>
  </r>
  <r>
    <s v="P129"/>
    <x v="1"/>
    <d v="2024-07-21T00:00:00"/>
    <x v="5"/>
    <s v="Check out our latest text on twitter!"/>
    <n v="2147"/>
    <n v="430"/>
    <n v="393"/>
    <n v="17176"/>
    <n v="16483"/>
    <n v="170"/>
  </r>
  <r>
    <s v="P028"/>
    <x v="0"/>
    <d v="2025-03-04T00:00:00"/>
    <x v="2"/>
    <s v="Check out our latest video on instagram!"/>
    <n v="432"/>
    <n v="624"/>
    <n v="123"/>
    <n v="6912"/>
    <n v="6259"/>
    <n v="79"/>
  </r>
  <r>
    <s v="P046"/>
    <x v="1"/>
    <d v="2025-05-02T00:00:00"/>
    <x v="2"/>
    <s v="Check out our latest video on twitter!"/>
    <n v="1108"/>
    <n v="177"/>
    <n v="212"/>
    <n v="8864"/>
    <n v="8710"/>
    <n v="97"/>
  </r>
  <r>
    <s v="P089"/>
    <x v="1"/>
    <d v="2025-01-10T00:00:00"/>
    <x v="4"/>
    <s v="Check out our latest image on twitter!"/>
    <n v="2214"/>
    <n v="249"/>
    <n v="152"/>
    <n v="15498"/>
    <n v="14800"/>
    <n v="180"/>
  </r>
  <r>
    <s v="P094"/>
    <x v="0"/>
    <d v="2024-11-07T00:00:00"/>
    <x v="4"/>
    <s v="Check out our latest image on instagram!"/>
    <n v="2647"/>
    <n v="304"/>
    <n v="170"/>
    <n v="18529"/>
    <n v="17841"/>
    <n v="46"/>
  </r>
  <r>
    <s v="P116"/>
    <x v="2"/>
    <d v="2025-03-18T00:00:00"/>
    <x v="1"/>
    <s v="Check out our latest reel on youtube!"/>
    <n v="3704"/>
    <n v="186"/>
    <n v="458"/>
    <n v="25928"/>
    <n v="25081"/>
    <n v="131"/>
  </r>
  <r>
    <s v="P275"/>
    <x v="3"/>
    <d v="2024-08-05T00:00:00"/>
    <x v="1"/>
    <s v="Check out our latest reel on facebook!"/>
    <n v="1741"/>
    <n v="831"/>
    <n v="345"/>
    <n v="17410"/>
    <n v="16844"/>
    <n v="58"/>
  </r>
  <r>
    <s v="P109"/>
    <x v="1"/>
    <d v="2024-08-08T00:00:00"/>
    <x v="0"/>
    <s v="Check out our latest story on twitter!"/>
    <n v="3649"/>
    <n v="215"/>
    <n v="413"/>
    <n v="25543"/>
    <n v="24963"/>
    <n v="167"/>
  </r>
  <r>
    <s v="P047"/>
    <x v="1"/>
    <d v="2025-02-24T00:00:00"/>
    <x v="3"/>
    <s v="Check out our latest carousel on twitter!"/>
    <n v="2704"/>
    <n v="752"/>
    <n v="153"/>
    <n v="21632"/>
    <n v="20792"/>
    <n v="127"/>
  </r>
  <r>
    <s v="P295"/>
    <x v="1"/>
    <d v="2025-05-06T00:00:00"/>
    <x v="4"/>
    <s v="Check out our latest image on twitter!"/>
    <n v="1952"/>
    <n v="344"/>
    <n v="287"/>
    <n v="15616"/>
    <n v="15403"/>
    <n v="235"/>
  </r>
  <r>
    <s v="P054"/>
    <x v="2"/>
    <d v="2025-03-13T00:00:00"/>
    <x v="3"/>
    <s v="Check out our latest carousel on youtube!"/>
    <n v="1686"/>
    <n v="904"/>
    <n v="472"/>
    <n v="18546"/>
    <n v="18171"/>
    <n v="52"/>
  </r>
  <r>
    <s v="P060"/>
    <x v="0"/>
    <d v="2025-01-28T00:00:00"/>
    <x v="2"/>
    <s v="Check out our latest video on instagram!"/>
    <n v="904"/>
    <n v="973"/>
    <n v="63"/>
    <n v="11752"/>
    <n v="11580"/>
    <n v="84"/>
  </r>
  <r>
    <s v="P083"/>
    <x v="2"/>
    <d v="2024-10-15T00:00:00"/>
    <x v="2"/>
    <s v="Check out our latest video on youtube!"/>
    <n v="1094"/>
    <n v="472"/>
    <n v="21"/>
    <n v="9846"/>
    <n v="9609"/>
    <n v="112"/>
  </r>
  <r>
    <s v="P138"/>
    <x v="1"/>
    <d v="2025-03-29T00:00:00"/>
    <x v="4"/>
    <s v="Check out our latest image on twitter!"/>
    <n v="305"/>
    <n v="187"/>
    <n v="243"/>
    <n v="4575"/>
    <n v="3704"/>
    <n v="234"/>
  </r>
  <r>
    <s v="P221"/>
    <x v="3"/>
    <d v="2025-03-23T00:00:00"/>
    <x v="2"/>
    <s v="Check out our latest video on facebook!"/>
    <n v="4453"/>
    <n v="111"/>
    <n v="420"/>
    <n v="31171"/>
    <n v="30565"/>
    <n v="23"/>
  </r>
  <r>
    <s v="P252"/>
    <x v="3"/>
    <d v="2025-04-28T00:00:00"/>
    <x v="3"/>
    <s v="Check out our latest carousel on facebook!"/>
    <n v="2089"/>
    <n v="476"/>
    <n v="69"/>
    <n v="16712"/>
    <n v="16309"/>
    <n v="64"/>
  </r>
  <r>
    <s v="P052"/>
    <x v="3"/>
    <d v="2025-01-03T00:00:00"/>
    <x v="4"/>
    <s v="Check out our latest image on facebook!"/>
    <n v="947"/>
    <n v="338"/>
    <n v="350"/>
    <n v="10417"/>
    <n v="9730"/>
    <n v="34"/>
  </r>
  <r>
    <s v="P140"/>
    <x v="3"/>
    <d v="2024-07-15T00:00:00"/>
    <x v="4"/>
    <s v="Check out our latest image on facebook!"/>
    <n v="2291"/>
    <n v="78"/>
    <n v="485"/>
    <n v="18328"/>
    <n v="18101"/>
    <n v="10"/>
  </r>
  <r>
    <s v="P165"/>
    <x v="1"/>
    <d v="2024-12-11T00:00:00"/>
    <x v="5"/>
    <s v="Check out our latest text on twitter!"/>
    <n v="3239"/>
    <n v="43"/>
    <n v="211"/>
    <n v="22673"/>
    <n v="22171"/>
    <n v="230"/>
  </r>
  <r>
    <s v="P164"/>
    <x v="2"/>
    <d v="2025-02-27T00:00:00"/>
    <x v="5"/>
    <s v="Check out our latest text on youtube!"/>
    <n v="4934"/>
    <n v="971"/>
    <n v="156"/>
    <n v="39472"/>
    <n v="39025"/>
    <n v="169"/>
  </r>
  <r>
    <s v="P262"/>
    <x v="2"/>
    <d v="2025-01-18T00:00:00"/>
    <x v="4"/>
    <s v="Check out our latest image on youtube!"/>
    <n v="1206"/>
    <n v="238"/>
    <n v="36"/>
    <n v="9648"/>
    <n v="9417"/>
    <n v="237"/>
  </r>
  <r>
    <s v="P147"/>
    <x v="0"/>
    <d v="2024-10-21T00:00:00"/>
    <x v="1"/>
    <s v="Check out our latest reel on instagram!"/>
    <n v="3256"/>
    <n v="459"/>
    <n v="266"/>
    <n v="26048"/>
    <n v="25529"/>
    <n v="143"/>
  </r>
  <r>
    <s v="P004"/>
    <x v="0"/>
    <d v="2024-08-12T00:00:00"/>
    <x v="0"/>
    <s v="Check out our latest story on instagram!"/>
    <n v="2404"/>
    <n v="363"/>
    <n v="138"/>
    <n v="19232"/>
    <n v="18636"/>
    <n v="128"/>
  </r>
  <r>
    <s v="P014"/>
    <x v="3"/>
    <d v="2025-02-16T00:00:00"/>
    <x v="0"/>
    <s v="Check out our latest story on facebook!"/>
    <n v="4242"/>
    <n v="555"/>
    <n v="131"/>
    <n v="33936"/>
    <n v="33802"/>
    <n v="265"/>
  </r>
  <r>
    <s v="P192"/>
    <x v="0"/>
    <d v="2024-11-29T00:00:00"/>
    <x v="2"/>
    <s v="Check out our latest video on instagram!"/>
    <n v="1176"/>
    <n v="464"/>
    <n v="394"/>
    <n v="14112"/>
    <n v="13588"/>
    <n v="272"/>
  </r>
  <r>
    <s v="P173"/>
    <x v="1"/>
    <d v="2024-12-05T00:00:00"/>
    <x v="2"/>
    <s v="Check out our latest video on twitter!"/>
    <n v="1330"/>
    <n v="925"/>
    <n v="35"/>
    <n v="15960"/>
    <n v="15379"/>
    <n v="229"/>
  </r>
  <r>
    <s v="P166"/>
    <x v="1"/>
    <d v="2025-02-16T00:00:00"/>
    <x v="1"/>
    <s v="Check out our latest reel on twitter!"/>
    <n v="1076"/>
    <n v="313"/>
    <n v="306"/>
    <n v="11836"/>
    <n v="11596"/>
    <n v="104"/>
  </r>
  <r>
    <s v="P207"/>
    <x v="1"/>
    <d v="2024-12-29T00:00:00"/>
    <x v="3"/>
    <s v="Check out our latest carousel on twitter!"/>
    <n v="4274"/>
    <n v="340"/>
    <n v="281"/>
    <n v="34192"/>
    <n v="33446"/>
    <n v="129"/>
  </r>
  <r>
    <s v="P061"/>
    <x v="1"/>
    <d v="2024-09-05T00:00:00"/>
    <x v="2"/>
    <s v="Check out our latest video on twitter!"/>
    <n v="4886"/>
    <n v="983"/>
    <n v="409"/>
    <n v="43974"/>
    <n v="43239"/>
    <n v="65"/>
  </r>
  <r>
    <s v="P125"/>
    <x v="1"/>
    <d v="2024-09-08T00:00:00"/>
    <x v="3"/>
    <s v="Check out our latest carousel on twitter!"/>
    <n v="3811"/>
    <n v="866"/>
    <n v="216"/>
    <n v="34299"/>
    <n v="34088"/>
    <n v="233"/>
  </r>
  <r>
    <s v="P272"/>
    <x v="0"/>
    <d v="2025-03-27T00:00:00"/>
    <x v="5"/>
    <s v="Check out our latest text on instagram!"/>
    <n v="4941"/>
    <n v="414"/>
    <n v="266"/>
    <n v="39528"/>
    <n v="39154"/>
    <n v="217"/>
  </r>
  <r>
    <s v="P040"/>
    <x v="1"/>
    <d v="2025-03-07T00:00:00"/>
    <x v="4"/>
    <s v="Check out our latest image on twitter!"/>
    <n v="4750"/>
    <n v="151"/>
    <n v="415"/>
    <n v="38000"/>
    <n v="37792"/>
    <n v="299"/>
  </r>
  <r>
    <s v="P299"/>
    <x v="3"/>
    <d v="2024-08-26T00:00:00"/>
    <x v="4"/>
    <s v="Check out our latest image on facebook!"/>
    <n v="2581"/>
    <n v="517"/>
    <n v="117"/>
    <n v="23229"/>
    <n v="22331"/>
    <n v="70"/>
  </r>
  <r>
    <s v="P174"/>
    <x v="3"/>
    <d v="2024-06-22T00:00:00"/>
    <x v="5"/>
    <s v="Check out our latest text on facebook!"/>
    <n v="3828"/>
    <n v="148"/>
    <n v="253"/>
    <n v="30624"/>
    <n v="30229"/>
    <n v="235"/>
  </r>
  <r>
    <s v="P104"/>
    <x v="2"/>
    <d v="2025-03-23T00:00:00"/>
    <x v="0"/>
    <s v="Check out our latest story on youtube!"/>
    <n v="3655"/>
    <n v="568"/>
    <n v="286"/>
    <n v="32895"/>
    <n v="32015"/>
    <n v="199"/>
  </r>
  <r>
    <s v="P195"/>
    <x v="0"/>
    <d v="2024-08-15T00:00:00"/>
    <x v="3"/>
    <s v="Check out our latest carousel on instagram!"/>
    <n v="914"/>
    <n v="464"/>
    <n v="246"/>
    <n v="11882"/>
    <n v="11500"/>
    <n v="282"/>
  </r>
  <r>
    <s v="P184"/>
    <x v="1"/>
    <d v="2024-07-28T00:00:00"/>
    <x v="4"/>
    <s v="Check out our latest image on twitter!"/>
    <n v="3215"/>
    <n v="960"/>
    <n v="202"/>
    <n v="32150"/>
    <n v="31404"/>
    <n v="251"/>
  </r>
  <r>
    <s v="P092"/>
    <x v="1"/>
    <d v="2024-10-21T00:00:00"/>
    <x v="0"/>
    <s v="Check out our latest story on twitter!"/>
    <n v="3801"/>
    <n v="967"/>
    <n v="401"/>
    <n v="38010"/>
    <n v="37625"/>
    <n v="236"/>
  </r>
  <r>
    <s v="P088"/>
    <x v="3"/>
    <d v="2024-07-07T00:00:00"/>
    <x v="0"/>
    <s v="Check out our latest story on facebook!"/>
    <n v="302"/>
    <n v="47"/>
    <n v="430"/>
    <n v="5738"/>
    <n v="4890"/>
    <n v="25"/>
  </r>
  <r>
    <s v="P285"/>
    <x v="2"/>
    <d v="2024-07-18T00:00:00"/>
    <x v="5"/>
    <s v="Check out our latest text on youtube!"/>
    <n v="4021"/>
    <n v="794"/>
    <n v="77"/>
    <n v="36189"/>
    <n v="35505"/>
    <n v="174"/>
  </r>
  <r>
    <s v="P050"/>
    <x v="2"/>
    <d v="2024-07-03T00:00:00"/>
    <x v="0"/>
    <s v="Check out our latest story on youtube!"/>
    <n v="2754"/>
    <n v="130"/>
    <n v="90"/>
    <n v="22032"/>
    <n v="21288"/>
    <n v="112"/>
  </r>
  <r>
    <s v="P132"/>
    <x v="0"/>
    <d v="2025-03-04T00:00:00"/>
    <x v="0"/>
    <s v="Check out our latest story on instagram!"/>
    <n v="1947"/>
    <n v="842"/>
    <n v="101"/>
    <n v="21417"/>
    <n v="20967"/>
    <n v="186"/>
  </r>
  <r>
    <s v="P229"/>
    <x v="0"/>
    <d v="2024-07-03T00:00:00"/>
    <x v="3"/>
    <s v="Check out our latest carousel on instagram!"/>
    <n v="4799"/>
    <n v="694"/>
    <n v="289"/>
    <n v="43191"/>
    <n v="42228"/>
    <n v="118"/>
  </r>
  <r>
    <s v="P074"/>
    <x v="2"/>
    <d v="2024-10-28T00:00:00"/>
    <x v="1"/>
    <s v="Check out our latest reel on youtube!"/>
    <n v="1855"/>
    <n v="200"/>
    <n v="174"/>
    <n v="16695"/>
    <n v="16330"/>
    <n v="123"/>
  </r>
  <r>
    <s v="P254"/>
    <x v="1"/>
    <d v="2025-01-14T00:00:00"/>
    <x v="4"/>
    <s v="Check out our latest image on twitter!"/>
    <n v="2692"/>
    <n v="115"/>
    <n v="64"/>
    <n v="21536"/>
    <n v="21120"/>
    <n v="224"/>
  </r>
  <r>
    <s v="P131"/>
    <x v="0"/>
    <d v="2024-10-21T00:00:00"/>
    <x v="1"/>
    <s v="Check out our latest reel on instagram!"/>
    <n v="4840"/>
    <n v="658"/>
    <n v="211"/>
    <n v="43560"/>
    <n v="43225"/>
    <n v="57"/>
  </r>
  <r>
    <s v="P236"/>
    <x v="3"/>
    <d v="2024-08-19T00:00:00"/>
    <x v="5"/>
    <s v="Check out our latest text on facebook!"/>
    <n v="1257"/>
    <n v="19"/>
    <n v="351"/>
    <n v="12570"/>
    <n v="11660"/>
    <n v="194"/>
  </r>
  <r>
    <s v="P114"/>
    <x v="1"/>
    <d v="2024-11-14T00:00:00"/>
    <x v="0"/>
    <s v="Check out our latest story on twitter!"/>
    <n v="4000"/>
    <n v="689"/>
    <n v="488"/>
    <n v="40000"/>
    <n v="39569"/>
    <n v="44"/>
  </r>
  <r>
    <s v="P056"/>
    <x v="3"/>
    <d v="2024-12-18T00:00:00"/>
    <x v="3"/>
    <s v="Check out our latest carousel on facebook!"/>
    <n v="2946"/>
    <n v="498"/>
    <n v="367"/>
    <n v="29460"/>
    <n v="28527"/>
    <n v="60"/>
  </r>
  <r>
    <s v="P105"/>
    <x v="0"/>
    <d v="2024-06-14T00:00:00"/>
    <x v="3"/>
    <s v="Check out our latest carousel on instagram!"/>
    <n v="498"/>
    <n v="38"/>
    <n v="42"/>
    <n v="4482"/>
    <n v="3647"/>
    <n v="32"/>
  </r>
  <r>
    <s v="P012"/>
    <x v="3"/>
    <d v="2024-07-21T00:00:00"/>
    <x v="1"/>
    <s v="Check out our latest reel on facebook!"/>
    <n v="1946"/>
    <n v="686"/>
    <n v="377"/>
    <n v="23352"/>
    <n v="22982"/>
    <n v="213"/>
  </r>
  <r>
    <s v="P235"/>
    <x v="3"/>
    <d v="2024-12-22T00:00:00"/>
    <x v="4"/>
    <s v="Check out our latest image on facebook!"/>
    <n v="3196"/>
    <n v="941"/>
    <n v="376"/>
    <n v="35156"/>
    <n v="34444"/>
    <n v="241"/>
  </r>
  <r>
    <s v="P033"/>
    <x v="3"/>
    <d v="2024-08-21T00:00:00"/>
    <x v="4"/>
    <s v="Check out our latest image on facebook!"/>
    <n v="1407"/>
    <n v="400"/>
    <n v="351"/>
    <n v="16884"/>
    <n v="15954"/>
    <n v="113"/>
  </r>
  <r>
    <s v="P038"/>
    <x v="2"/>
    <d v="2025-02-17T00:00:00"/>
    <x v="1"/>
    <s v="Check out our latest reel on youtube!"/>
    <n v="3138"/>
    <n v="123"/>
    <n v="291"/>
    <n v="28242"/>
    <n v="27550"/>
    <n v="87"/>
  </r>
  <r>
    <s v="P196"/>
    <x v="0"/>
    <d v="2024-12-19T00:00:00"/>
    <x v="5"/>
    <s v="Check out our latest text on instagram!"/>
    <n v="1813"/>
    <n v="623"/>
    <n v="72"/>
    <n v="19943"/>
    <n v="18959"/>
    <n v="85"/>
  </r>
  <r>
    <s v="P128"/>
    <x v="1"/>
    <d v="2025-01-10T00:00:00"/>
    <x v="4"/>
    <s v="Check out our latest image on twitter!"/>
    <n v="3092"/>
    <n v="106"/>
    <n v="291"/>
    <n v="27828"/>
    <n v="27217"/>
    <n v="102"/>
  </r>
  <r>
    <s v="P169"/>
    <x v="2"/>
    <d v="2024-12-03T00:00:00"/>
    <x v="2"/>
    <s v="Check out our latest video on youtube!"/>
    <n v="3809"/>
    <n v="273"/>
    <n v="200"/>
    <n v="34281"/>
    <n v="33534"/>
    <n v="83"/>
  </r>
  <r>
    <s v="P293"/>
    <x v="3"/>
    <d v="2025-05-14T00:00:00"/>
    <x v="5"/>
    <s v="Check out our latest text on facebook!"/>
    <n v="2634"/>
    <n v="726"/>
    <n v="241"/>
    <n v="28974"/>
    <n v="28102"/>
    <n v="277"/>
  </r>
  <r>
    <s v="P292"/>
    <x v="3"/>
    <d v="2024-11-17T00:00:00"/>
    <x v="5"/>
    <s v="Check out our latest text on facebook!"/>
    <n v="880"/>
    <n v="297"/>
    <n v="345"/>
    <n v="12320"/>
    <n v="11978"/>
    <n v="238"/>
  </r>
  <r>
    <s v="P212"/>
    <x v="2"/>
    <d v="2025-03-03T00:00:00"/>
    <x v="2"/>
    <s v="Check out our latest video on youtube!"/>
    <n v="3874"/>
    <n v="884"/>
    <n v="19"/>
    <n v="38740"/>
    <n v="38552"/>
    <n v="219"/>
  </r>
  <r>
    <s v="P110"/>
    <x v="0"/>
    <d v="2024-07-29T00:00:00"/>
    <x v="1"/>
    <s v="Check out our latest reel on instagram!"/>
    <n v="3523"/>
    <n v="753"/>
    <n v="482"/>
    <n v="38753"/>
    <n v="38579"/>
    <n v="270"/>
  </r>
  <r>
    <s v="P245"/>
    <x v="3"/>
    <d v="2025-01-12T00:00:00"/>
    <x v="1"/>
    <s v="Check out our latest reel on facebook!"/>
    <n v="4134"/>
    <n v="824"/>
    <n v="99"/>
    <n v="41340"/>
    <n v="41050"/>
    <n v="177"/>
  </r>
  <r>
    <s v="P075"/>
    <x v="0"/>
    <d v="2024-08-01T00:00:00"/>
    <x v="1"/>
    <s v="Check out our latest reel on instagram!"/>
    <n v="1674"/>
    <n v="929"/>
    <n v="37"/>
    <n v="21762"/>
    <n v="20998"/>
    <n v="255"/>
  </r>
  <r>
    <s v="P255"/>
    <x v="3"/>
    <d v="2025-04-03T00:00:00"/>
    <x v="0"/>
    <s v="Check out our latest story on facebook!"/>
    <n v="3767"/>
    <n v="514"/>
    <n v="238"/>
    <n v="37670"/>
    <n v="36807"/>
    <n v="226"/>
  </r>
  <r>
    <s v="P071"/>
    <x v="2"/>
    <d v="2024-09-02T00:00:00"/>
    <x v="3"/>
    <s v="Check out our latest carousel on youtube!"/>
    <n v="2551"/>
    <n v="915"/>
    <n v="205"/>
    <n v="30612"/>
    <n v="30360"/>
    <n v="227"/>
  </r>
  <r>
    <s v="P065"/>
    <x v="0"/>
    <d v="2025-03-28T00:00:00"/>
    <x v="0"/>
    <s v="Check out our latest story on instagram!"/>
    <n v="1881"/>
    <n v="501"/>
    <n v="99"/>
    <n v="20691"/>
    <n v="19987"/>
    <n v="289"/>
  </r>
  <r>
    <s v="P247"/>
    <x v="3"/>
    <d v="2024-08-27T00:00:00"/>
    <x v="1"/>
    <s v="Check out our latest reel on facebook!"/>
    <n v="3960"/>
    <n v="266"/>
    <n v="8"/>
    <n v="35640"/>
    <n v="34850"/>
    <n v="208"/>
  </r>
  <r>
    <s v="P035"/>
    <x v="0"/>
    <d v="2024-11-30T00:00:00"/>
    <x v="2"/>
    <s v="Check out our latest video on instagram!"/>
    <n v="3775"/>
    <n v="16"/>
    <n v="239"/>
    <n v="33975"/>
    <n v="33310"/>
    <n v="271"/>
  </r>
  <r>
    <s v="P117"/>
    <x v="1"/>
    <d v="2024-11-04T00:00:00"/>
    <x v="4"/>
    <s v="Check out our latest image on twitter!"/>
    <n v="1606"/>
    <n v="451"/>
    <n v="405"/>
    <n v="20878"/>
    <n v="20190"/>
    <n v="219"/>
  </r>
  <r>
    <s v="P251"/>
    <x v="0"/>
    <d v="2025-03-27T00:00:00"/>
    <x v="3"/>
    <s v="Check out our latest carousel on instagram!"/>
    <n v="1377"/>
    <n v="796"/>
    <n v="387"/>
    <n v="22032"/>
    <n v="21869"/>
    <n v="189"/>
  </r>
  <r>
    <s v="P011"/>
    <x v="0"/>
    <d v="2025-02-02T00:00:00"/>
    <x v="0"/>
    <s v="Check out our latest story on instagram!"/>
    <n v="1792"/>
    <n v="614"/>
    <n v="497"/>
    <n v="25088"/>
    <n v="24675"/>
    <n v="65"/>
  </r>
  <r>
    <s v="P161"/>
    <x v="1"/>
    <d v="2025-02-19T00:00:00"/>
    <x v="5"/>
    <s v="Check out our latest text on twitter!"/>
    <n v="4671"/>
    <n v="876"/>
    <n v="366"/>
    <n v="51381"/>
    <n v="50565"/>
    <n v="245"/>
  </r>
  <r>
    <s v="P155"/>
    <x v="2"/>
    <d v="2024-12-21T00:00:00"/>
    <x v="4"/>
    <s v="Check out our latest image on youtube!"/>
    <n v="2283"/>
    <n v="210"/>
    <n v="130"/>
    <n v="22830"/>
    <n v="22617"/>
    <n v="143"/>
  </r>
  <r>
    <s v="P284"/>
    <x v="1"/>
    <d v="2024-09-17T00:00:00"/>
    <x v="5"/>
    <s v="Check out our latest text on twitter!"/>
    <n v="571"/>
    <n v="190"/>
    <n v="352"/>
    <n v="9707"/>
    <n v="9418"/>
    <n v="231"/>
  </r>
  <r>
    <s v="P113"/>
    <x v="1"/>
    <d v="2024-10-02T00:00:00"/>
    <x v="3"/>
    <s v="Check out our latest carousel on twitter!"/>
    <n v="4419"/>
    <n v="236"/>
    <n v="369"/>
    <n v="44190"/>
    <n v="43582"/>
    <n v="10"/>
  </r>
  <r>
    <s v="P158"/>
    <x v="0"/>
    <d v="2024-08-11T00:00:00"/>
    <x v="0"/>
    <s v="Check out our latest story on instagram!"/>
    <n v="1762"/>
    <n v="405"/>
    <n v="423"/>
    <n v="22906"/>
    <n v="21925"/>
    <n v="25"/>
  </r>
  <r>
    <s v="P098"/>
    <x v="1"/>
    <d v="2024-06-10T00:00:00"/>
    <x v="0"/>
    <s v="Check out our latest story on twitter!"/>
    <n v="1575"/>
    <n v="771"/>
    <n v="486"/>
    <n v="25200"/>
    <n v="24826"/>
    <n v="17"/>
  </r>
  <r>
    <s v="P227"/>
    <x v="0"/>
    <d v="2024-06-12T00:00:00"/>
    <x v="5"/>
    <s v="Check out our latest text on instagram!"/>
    <n v="246"/>
    <n v="149"/>
    <n v="130"/>
    <n v="4674"/>
    <n v="4390"/>
    <n v="217"/>
  </r>
  <r>
    <s v="P222"/>
    <x v="3"/>
    <d v="2024-10-08T00:00:00"/>
    <x v="1"/>
    <s v="Check out our latest reel on facebook!"/>
    <n v="1814"/>
    <n v="653"/>
    <n v="363"/>
    <n v="25396"/>
    <n v="25286"/>
    <n v="39"/>
  </r>
  <r>
    <s v="P278"/>
    <x v="1"/>
    <d v="2024-11-26T00:00:00"/>
    <x v="5"/>
    <s v="Check out our latest text on twitter!"/>
    <n v="4516"/>
    <n v="836"/>
    <n v="169"/>
    <n v="49676"/>
    <n v="49257"/>
    <n v="282"/>
  </r>
  <r>
    <s v="P151"/>
    <x v="0"/>
    <d v="2024-07-26T00:00:00"/>
    <x v="4"/>
    <s v="Check out our latest image on instagram!"/>
    <n v="3559"/>
    <n v="59"/>
    <n v="289"/>
    <n v="35590"/>
    <n v="35105"/>
    <n v="122"/>
  </r>
  <r>
    <s v="P156"/>
    <x v="3"/>
    <d v="2024-10-22T00:00:00"/>
    <x v="3"/>
    <s v="Check out our latest carousel on facebook!"/>
    <n v="3352"/>
    <n v="941"/>
    <n v="482"/>
    <n v="43576"/>
    <n v="43338"/>
    <n v="240"/>
  </r>
  <r>
    <s v="P157"/>
    <x v="2"/>
    <d v="2024-07-23T00:00:00"/>
    <x v="0"/>
    <s v="Check out our latest story on youtube!"/>
    <n v="4775"/>
    <n v="173"/>
    <n v="206"/>
    <n v="47750"/>
    <n v="47544"/>
    <n v="187"/>
  </r>
  <r>
    <s v="P206"/>
    <x v="1"/>
    <d v="2024-06-24T00:00:00"/>
    <x v="5"/>
    <s v="Check out our latest text on twitter!"/>
    <n v="941"/>
    <n v="121"/>
    <n v="458"/>
    <n v="14115"/>
    <n v="13838"/>
    <n v="87"/>
  </r>
  <r>
    <s v="P282"/>
    <x v="0"/>
    <d v="2024-10-03T00:00:00"/>
    <x v="2"/>
    <s v="Check out our latest video on instagram!"/>
    <n v="1488"/>
    <n v="417"/>
    <n v="168"/>
    <n v="19344"/>
    <n v="18395"/>
    <n v="30"/>
  </r>
  <r>
    <s v="P049"/>
    <x v="1"/>
    <d v="2024-06-10T00:00:00"/>
    <x v="0"/>
    <s v="Check out our latest story on twitter!"/>
    <n v="2164"/>
    <n v="549"/>
    <n v="274"/>
    <n v="28132"/>
    <n v="27361"/>
    <n v="177"/>
  </r>
  <r>
    <s v="P205"/>
    <x v="1"/>
    <d v="2025-04-24T00:00:00"/>
    <x v="2"/>
    <s v="Check out our latest video on twitter!"/>
    <n v="3820"/>
    <n v="697"/>
    <n v="268"/>
    <n v="45840"/>
    <n v="45631"/>
    <n v="171"/>
  </r>
  <r>
    <s v="P008"/>
    <x v="2"/>
    <d v="2024-07-13T00:00:00"/>
    <x v="4"/>
    <s v="Check out our latest image on youtube!"/>
    <n v="3929"/>
    <n v="262"/>
    <n v="278"/>
    <n v="43219"/>
    <n v="42841"/>
    <n v="39"/>
  </r>
  <r>
    <s v="P096"/>
    <x v="1"/>
    <d v="2024-09-10T00:00:00"/>
    <x v="4"/>
    <s v="Check out our latest image on twitter!"/>
    <n v="1238"/>
    <n v="366"/>
    <n v="444"/>
    <n v="19808"/>
    <n v="19334"/>
    <n v="123"/>
  </r>
  <r>
    <s v="P018"/>
    <x v="0"/>
    <d v="2024-08-19T00:00:00"/>
    <x v="1"/>
    <s v="Check out our latest reel on instagram!"/>
    <n v="3000"/>
    <n v="382"/>
    <n v="325"/>
    <n v="36000"/>
    <n v="35819"/>
    <n v="19"/>
  </r>
  <r>
    <s v="P182"/>
    <x v="3"/>
    <d v="2024-07-31T00:00:00"/>
    <x v="4"/>
    <s v="Check out our latest image on facebook!"/>
    <n v="4689"/>
    <n v="134"/>
    <n v="403"/>
    <n v="51579"/>
    <n v="50924"/>
    <n v="173"/>
  </r>
  <r>
    <s v="P266"/>
    <x v="3"/>
    <d v="2024-11-25T00:00:00"/>
    <x v="0"/>
    <s v="Check out our latest story on facebook!"/>
    <n v="4182"/>
    <n v="640"/>
    <n v="240"/>
    <n v="50184"/>
    <n v="49351"/>
    <n v="10"/>
  </r>
  <r>
    <s v="P019"/>
    <x v="0"/>
    <d v="2024-06-23T00:00:00"/>
    <x v="2"/>
    <s v="Check out our latest video on instagram!"/>
    <n v="1071"/>
    <n v="519"/>
    <n v="22"/>
    <n v="16065"/>
    <n v="15865"/>
    <n v="103"/>
  </r>
  <r>
    <s v="P108"/>
    <x v="1"/>
    <d v="2025-03-25T00:00:00"/>
    <x v="2"/>
    <s v="Check out our latest video on twitter!"/>
    <n v="4050"/>
    <n v="871"/>
    <n v="347"/>
    <n v="52650"/>
    <n v="51755"/>
    <n v="209"/>
  </r>
  <r>
    <s v="P126"/>
    <x v="0"/>
    <d v="2025-03-28T00:00:00"/>
    <x v="3"/>
    <s v="Check out our latest carousel on instagram!"/>
    <n v="4158"/>
    <n v="167"/>
    <n v="241"/>
    <n v="45738"/>
    <n v="45183"/>
    <n v="142"/>
  </r>
  <r>
    <s v="P103"/>
    <x v="3"/>
    <d v="2024-06-11T00:00:00"/>
    <x v="4"/>
    <s v="Check out our latest image on facebook!"/>
    <n v="3689"/>
    <n v="48"/>
    <n v="306"/>
    <n v="40579"/>
    <n v="39588"/>
    <n v="212"/>
  </r>
  <r>
    <s v="P191"/>
    <x v="2"/>
    <d v="2024-12-03T00:00:00"/>
    <x v="0"/>
    <s v="Check out our latest story on youtube!"/>
    <n v="4285"/>
    <n v="886"/>
    <n v="376"/>
    <n v="55705"/>
    <n v="55556"/>
    <n v="51"/>
  </r>
  <r>
    <s v="P193"/>
    <x v="1"/>
    <d v="2024-09-11T00:00:00"/>
    <x v="4"/>
    <s v="Check out our latest image on twitter!"/>
    <n v="4858"/>
    <n v="317"/>
    <n v="129"/>
    <n v="53438"/>
    <n v="52687"/>
    <n v="223"/>
  </r>
  <r>
    <s v="P167"/>
    <x v="0"/>
    <d v="2024-11-28T00:00:00"/>
    <x v="5"/>
    <s v="Check out our latest text on instagram!"/>
    <n v="4771"/>
    <n v="818"/>
    <n v="56"/>
    <n v="57252"/>
    <n v="56378"/>
    <n v="150"/>
  </r>
  <r>
    <s v="P044"/>
    <x v="1"/>
    <d v="2025-03-02T00:00:00"/>
    <x v="4"/>
    <s v="Check out our latest image on twitter!"/>
    <n v="2358"/>
    <n v="784"/>
    <n v="344"/>
    <n v="35370"/>
    <n v="34475"/>
    <n v="216"/>
  </r>
  <r>
    <s v="P171"/>
    <x v="2"/>
    <d v="2024-12-31T00:00:00"/>
    <x v="2"/>
    <s v="Check out our latest video on youtube!"/>
    <n v="1018"/>
    <n v="447"/>
    <n v="332"/>
    <n v="18324"/>
    <n v="18164"/>
    <n v="38"/>
  </r>
  <r>
    <s v="P273"/>
    <x v="2"/>
    <d v="2024-10-12T00:00:00"/>
    <x v="0"/>
    <s v="Check out our latest story on youtube!"/>
    <n v="3641"/>
    <n v="226"/>
    <n v="46"/>
    <n v="40051"/>
    <n v="39319"/>
    <n v="296"/>
  </r>
  <r>
    <s v="P243"/>
    <x v="1"/>
    <d v="2025-03-06T00:00:00"/>
    <x v="4"/>
    <s v="Check out our latest image on twitter!"/>
    <n v="3592"/>
    <n v="911"/>
    <n v="375"/>
    <n v="50288"/>
    <n v="49490"/>
    <n v="32"/>
  </r>
  <r>
    <s v="P185"/>
    <x v="0"/>
    <d v="2025-01-11T00:00:00"/>
    <x v="3"/>
    <s v="Check out our latest carousel on instagram!"/>
    <n v="4523"/>
    <n v="61"/>
    <n v="157"/>
    <n v="49753"/>
    <n v="49329"/>
    <n v="71"/>
  </r>
  <r>
    <s v="P081"/>
    <x v="0"/>
    <d v="2024-10-19T00:00:00"/>
    <x v="0"/>
    <s v="Check out our latest story on instagram!"/>
    <n v="1816"/>
    <n v="29"/>
    <n v="41"/>
    <n v="19976"/>
    <n v="19262"/>
    <n v="283"/>
  </r>
  <r>
    <s v="P017"/>
    <x v="3"/>
    <d v="2025-05-05T00:00:00"/>
    <x v="5"/>
    <s v="Check out our latest text on facebook!"/>
    <n v="4441"/>
    <n v="511"/>
    <n v="70"/>
    <n v="53292"/>
    <n v="53082"/>
    <n v="159"/>
  </r>
  <r>
    <s v="P139"/>
    <x v="2"/>
    <d v="2024-10-29T00:00:00"/>
    <x v="5"/>
    <s v="Check out our latest text on youtube!"/>
    <n v="2746"/>
    <n v="156"/>
    <n v="203"/>
    <n v="32952"/>
    <n v="32147"/>
    <n v="147"/>
  </r>
  <r>
    <s v="P069"/>
    <x v="1"/>
    <d v="2025-03-08T00:00:00"/>
    <x v="5"/>
    <s v="Check out our latest text on twitter!"/>
    <n v="1292"/>
    <n v="626"/>
    <n v="496"/>
    <n v="25840"/>
    <n v="24916"/>
    <n v="149"/>
  </r>
  <r>
    <s v="P059"/>
    <x v="0"/>
    <d v="2024-06-22T00:00:00"/>
    <x v="5"/>
    <s v="Check out our latest text on instagram!"/>
    <n v="2180"/>
    <n v="263"/>
    <n v="387"/>
    <n v="30520"/>
    <n v="30059"/>
    <n v="174"/>
  </r>
  <r>
    <s v="P100"/>
    <x v="2"/>
    <d v="2025-02-10T00:00:00"/>
    <x v="2"/>
    <s v="Check out our latest video on youtube!"/>
    <n v="1766"/>
    <n v="92"/>
    <n v="424"/>
    <n v="24724"/>
    <n v="24333"/>
    <n v="52"/>
  </r>
  <r>
    <s v="P055"/>
    <x v="3"/>
    <d v="2024-06-17T00:00:00"/>
    <x v="4"/>
    <s v="Check out our latest image on facebook!"/>
    <n v="1226"/>
    <n v="119"/>
    <n v="7"/>
    <n v="14712"/>
    <n v="14049"/>
    <n v="123"/>
  </r>
  <r>
    <s v="P177"/>
    <x v="0"/>
    <d v="2024-07-10T00:00:00"/>
    <x v="3"/>
    <s v="Check out our latest carousel on instagram!"/>
    <n v="3099"/>
    <n v="694"/>
    <n v="171"/>
    <n v="43386"/>
    <n v="42921"/>
    <n v="52"/>
  </r>
  <r>
    <s v="P160"/>
    <x v="1"/>
    <d v="2024-08-24T00:00:00"/>
    <x v="2"/>
    <s v="Check out our latest video on twitter!"/>
    <n v="1082"/>
    <n v="209"/>
    <n v="484"/>
    <n v="19476"/>
    <n v="18654"/>
    <n v="20"/>
  </r>
  <r>
    <s v="P001"/>
    <x v="1"/>
    <d v="2024-12-23T00:00:00"/>
    <x v="1"/>
    <s v="Check out our latest reel on twitter!"/>
    <n v="1461"/>
    <n v="184"/>
    <n v="344"/>
    <n v="21915"/>
    <n v="21675"/>
    <n v="15"/>
  </r>
  <r>
    <s v="P201"/>
    <x v="1"/>
    <d v="2025-01-15T00:00:00"/>
    <x v="1"/>
    <s v="Check out our latest reel on twitter!"/>
    <n v="802"/>
    <n v="262"/>
    <n v="244"/>
    <n v="14436"/>
    <n v="14280"/>
    <n v="49"/>
  </r>
  <r>
    <s v="P180"/>
    <x v="2"/>
    <d v="2024-12-03T00:00:00"/>
    <x v="5"/>
    <s v="Check out our latest text on youtube!"/>
    <n v="3711"/>
    <n v="352"/>
    <n v="290"/>
    <n v="48243"/>
    <n v="47579"/>
    <n v="11"/>
  </r>
  <r>
    <s v="P026"/>
    <x v="2"/>
    <d v="2025-04-05T00:00:00"/>
    <x v="1"/>
    <s v="Check out our latest reel on youtube!"/>
    <n v="3009"/>
    <n v="413"/>
    <n v="358"/>
    <n v="42126"/>
    <n v="41309"/>
    <n v="211"/>
  </r>
  <r>
    <s v="P130"/>
    <x v="2"/>
    <d v="2024-09-29T00:00:00"/>
    <x v="1"/>
    <s v="Check out our latest reel on youtube!"/>
    <n v="2936"/>
    <n v="439"/>
    <n v="44"/>
    <n v="38168"/>
    <n v="37571"/>
    <n v="22"/>
  </r>
  <r>
    <s v="P079"/>
    <x v="0"/>
    <d v="2024-10-09T00:00:00"/>
    <x v="3"/>
    <s v="Check out our latest carousel on instagram!"/>
    <n v="3068"/>
    <n v="137"/>
    <n v="329"/>
    <n v="39884"/>
    <n v="39404"/>
    <n v="266"/>
  </r>
  <r>
    <s v="P072"/>
    <x v="2"/>
    <d v="2025-03-03T00:00:00"/>
    <x v="1"/>
    <s v="Check out our latest reel on youtube!"/>
    <n v="296"/>
    <n v="60"/>
    <n v="141"/>
    <n v="5624"/>
    <n v="5239"/>
    <n v="88"/>
  </r>
  <r>
    <s v="P009"/>
    <x v="3"/>
    <d v="2024-08-30T00:00:00"/>
    <x v="5"/>
    <s v="Check out our latest text on facebook!"/>
    <n v="3784"/>
    <n v="808"/>
    <n v="404"/>
    <n v="56760"/>
    <n v="56343"/>
    <n v="131"/>
  </r>
  <r>
    <s v="P260"/>
    <x v="0"/>
    <d v="2025-02-12T00:00:00"/>
    <x v="0"/>
    <s v="Check out our latest story on instagram!"/>
    <n v="4332"/>
    <n v="771"/>
    <n v="219"/>
    <n v="60648"/>
    <n v="60397"/>
    <n v="10"/>
  </r>
  <r>
    <s v="P249"/>
    <x v="1"/>
    <d v="2024-07-18T00:00:00"/>
    <x v="4"/>
    <s v="Check out our latest image on twitter!"/>
    <n v="827"/>
    <n v="77"/>
    <n v="402"/>
    <n v="14886"/>
    <n v="14129"/>
    <n v="254"/>
  </r>
  <r>
    <s v="P097"/>
    <x v="0"/>
    <d v="2024-08-13T00:00:00"/>
    <x v="4"/>
    <s v="Check out our latest image on instagram!"/>
    <n v="4739"/>
    <n v="527"/>
    <n v="135"/>
    <n v="61607"/>
    <n v="61333"/>
    <n v="36"/>
  </r>
  <r>
    <s v="P253"/>
    <x v="1"/>
    <d v="2024-08-03T00:00:00"/>
    <x v="1"/>
    <s v="Check out our latest reel on twitter!"/>
    <n v="3791"/>
    <n v="593"/>
    <n v="228"/>
    <n v="53074"/>
    <n v="52613"/>
    <n v="205"/>
  </r>
  <r>
    <s v="P084"/>
    <x v="3"/>
    <d v="2024-12-09T00:00:00"/>
    <x v="4"/>
    <s v="Check out our latest image on facebook!"/>
    <n v="1841"/>
    <n v="851"/>
    <n v="342"/>
    <n v="34979"/>
    <n v="34154"/>
    <n v="255"/>
  </r>
  <r>
    <s v="P162"/>
    <x v="3"/>
    <d v="2025-04-01T00:00:00"/>
    <x v="0"/>
    <s v="Check out our latest story on facebook!"/>
    <n v="3430"/>
    <n v="566"/>
    <n v="164"/>
    <n v="48020"/>
    <n v="47305"/>
    <n v="120"/>
  </r>
  <r>
    <s v="P208"/>
    <x v="2"/>
    <d v="2024-06-24T00:00:00"/>
    <x v="2"/>
    <s v="Check out our latest video on youtube!"/>
    <n v="2949"/>
    <n v="476"/>
    <n v="403"/>
    <n v="44235"/>
    <n v="43705"/>
    <n v="135"/>
  </r>
  <r>
    <s v="P240"/>
    <x v="1"/>
    <d v="2024-08-26T00:00:00"/>
    <x v="3"/>
    <s v="Check out our latest carousel on twitter!"/>
    <n v="929"/>
    <n v="192"/>
    <n v="322"/>
    <n v="16722"/>
    <n v="15996"/>
    <n v="145"/>
  </r>
  <r>
    <s v="P231"/>
    <x v="0"/>
    <d v="2025-05-01T00:00:00"/>
    <x v="5"/>
    <s v="Check out our latest text on instagram!"/>
    <n v="1430"/>
    <n v="376"/>
    <n v="33"/>
    <n v="21450"/>
    <n v="20509"/>
    <n v="251"/>
  </r>
  <r>
    <s v="P106"/>
    <x v="0"/>
    <d v="2025-02-04T00:00:00"/>
    <x v="4"/>
    <s v="Check out our latest image on instagram!"/>
    <n v="4619"/>
    <n v="821"/>
    <n v="499"/>
    <n v="69285"/>
    <n v="69141"/>
    <n v="298"/>
  </r>
  <r>
    <s v="P082"/>
    <x v="0"/>
    <d v="2024-07-24T00:00:00"/>
    <x v="4"/>
    <s v="Check out our latest image on instagram!"/>
    <n v="725"/>
    <n v="88"/>
    <n v="428"/>
    <n v="14500"/>
    <n v="13637"/>
    <n v="200"/>
  </r>
  <r>
    <s v="P199"/>
    <x v="2"/>
    <d v="2024-11-30T00:00:00"/>
    <x v="3"/>
    <s v="Check out our latest carousel on youtube!"/>
    <n v="2509"/>
    <n v="324"/>
    <n v="171"/>
    <n v="35126"/>
    <n v="34685"/>
    <n v="277"/>
  </r>
  <r>
    <s v="P188"/>
    <x v="2"/>
    <d v="2024-06-06T00:00:00"/>
    <x v="1"/>
    <s v="Check out our latest reel on youtube!"/>
    <n v="2728"/>
    <n v="533"/>
    <n v="215"/>
    <n v="40920"/>
    <n v="40816"/>
    <n v="137"/>
  </r>
  <r>
    <s v="P186"/>
    <x v="3"/>
    <d v="2024-08-24T00:00:00"/>
    <x v="3"/>
    <s v="Check out our latest carousel on facebook!"/>
    <n v="4292"/>
    <n v="51"/>
    <n v="392"/>
    <n v="55796"/>
    <n v="54826"/>
    <n v="264"/>
  </r>
  <r>
    <s v="P194"/>
    <x v="2"/>
    <d v="2024-10-02T00:00:00"/>
    <x v="0"/>
    <s v="Check out our latest story on youtube!"/>
    <n v="4350"/>
    <n v="771"/>
    <n v="7"/>
    <n v="60900"/>
    <n v="60592"/>
    <n v="195"/>
  </r>
  <r>
    <s v="P268"/>
    <x v="0"/>
    <d v="2025-04-13T00:00:00"/>
    <x v="1"/>
    <s v="Check out our latest reel on instagram!"/>
    <n v="4579"/>
    <n v="125"/>
    <n v="300"/>
    <n v="59527"/>
    <n v="59400"/>
    <n v="269"/>
  </r>
  <r>
    <s v="P290"/>
    <x v="0"/>
    <d v="2024-12-20T00:00:00"/>
    <x v="3"/>
    <s v="Check out our latest carousel on instagram!"/>
    <n v="2107"/>
    <n v="550"/>
    <n v="349"/>
    <n v="35819"/>
    <n v="35340"/>
    <n v="191"/>
  </r>
  <r>
    <s v="P187"/>
    <x v="1"/>
    <d v="2024-12-22T00:00:00"/>
    <x v="1"/>
    <s v="Check out our latest reel on twitter!"/>
    <n v="1644"/>
    <n v="546"/>
    <n v="150"/>
    <n v="27948"/>
    <n v="27184"/>
    <n v="300"/>
  </r>
  <r>
    <s v="P300"/>
    <x v="1"/>
    <d v="2024-08-31T00:00:00"/>
    <x v="3"/>
    <s v="Check out our latest carousel on twitter!"/>
    <n v="4494"/>
    <n v="717"/>
    <n v="45"/>
    <n v="62916"/>
    <n v="62688"/>
    <n v="191"/>
  </r>
  <r>
    <s v="P280"/>
    <x v="2"/>
    <d v="2024-10-21T00:00:00"/>
    <x v="2"/>
    <s v="Check out our latest video on youtube!"/>
    <n v="4275"/>
    <n v="680"/>
    <n v="385"/>
    <n v="64125"/>
    <n v="63650"/>
    <n v="104"/>
  </r>
  <r>
    <s v="P261"/>
    <x v="0"/>
    <d v="2024-10-27T00:00:00"/>
    <x v="4"/>
    <s v="Check out our latest image on instagram!"/>
    <n v="4853"/>
    <n v="837"/>
    <n v="340"/>
    <n v="72795"/>
    <n v="72237"/>
    <n v="170"/>
  </r>
  <r>
    <s v="P209"/>
    <x v="1"/>
    <d v="2025-03-19T00:00:00"/>
    <x v="2"/>
    <s v="Check out our latest video on twitter!"/>
    <n v="3160"/>
    <n v="204"/>
    <n v="297"/>
    <n v="44240"/>
    <n v="43666"/>
    <n v="49"/>
  </r>
  <r>
    <s v="P213"/>
    <x v="3"/>
    <d v="2025-05-01T00:00:00"/>
    <x v="3"/>
    <s v="Check out our latest carousel on facebook!"/>
    <n v="2696"/>
    <n v="628"/>
    <n v="443"/>
    <n v="45832"/>
    <n v="45632"/>
    <n v="248"/>
  </r>
  <r>
    <s v="P202"/>
    <x v="3"/>
    <d v="2024-06-02T00:00:00"/>
    <x v="4"/>
    <s v="Check out our latest image on facebook!"/>
    <n v="1871"/>
    <n v="252"/>
    <n v="335"/>
    <n v="29936"/>
    <n v="29576"/>
    <n v="288"/>
  </r>
  <r>
    <s v="P078"/>
    <x v="1"/>
    <d v="2024-06-17T00:00:00"/>
    <x v="4"/>
    <s v="Check out our latest image on twitter!"/>
    <n v="954"/>
    <n v="324"/>
    <n v="288"/>
    <n v="19080"/>
    <n v="18859"/>
    <n v="21"/>
  </r>
  <r>
    <s v="P064"/>
    <x v="3"/>
    <d v="2024-08-17T00:00:00"/>
    <x v="4"/>
    <s v="Check out our latest image on facebook!"/>
    <n v="2878"/>
    <n v="248"/>
    <n v="416"/>
    <n v="43170"/>
    <n v="42667"/>
    <n v="75"/>
  </r>
  <r>
    <s v="P228"/>
    <x v="0"/>
    <d v="2024-07-01T00:00:00"/>
    <x v="0"/>
    <s v="Check out our latest story on instagram!"/>
    <n v="4808"/>
    <n v="772"/>
    <n v="320"/>
    <n v="72120"/>
    <n v="71696"/>
    <n v="195"/>
  </r>
  <r>
    <s v="P076"/>
    <x v="1"/>
    <d v="2024-11-07T00:00:00"/>
    <x v="0"/>
    <s v="Check out our latest story on twitter!"/>
    <n v="1121"/>
    <n v="135"/>
    <n v="18"/>
    <n v="15694"/>
    <n v="14957"/>
    <n v="99"/>
  </r>
  <r>
    <s v="P057"/>
    <x v="1"/>
    <d v="2024-10-21T00:00:00"/>
    <x v="2"/>
    <s v="Check out our latest video on twitter!"/>
    <n v="2825"/>
    <n v="535"/>
    <n v="295"/>
    <n v="45200"/>
    <n v="44739"/>
    <n v="169"/>
  </r>
  <r>
    <s v="P122"/>
    <x v="0"/>
    <d v="2024-10-02T00:00:00"/>
    <x v="5"/>
    <s v="Check out our latest text on instagram!"/>
    <n v="3432"/>
    <n v="869"/>
    <n v="123"/>
    <n v="54912"/>
    <n v="53916"/>
    <n v="264"/>
  </r>
  <r>
    <s v="P022"/>
    <x v="3"/>
    <d v="2025-02-27T00:00:00"/>
    <x v="5"/>
    <s v="Check out our latest text on facebook!"/>
    <n v="1570"/>
    <n v="187"/>
    <n v="260"/>
    <n v="25120"/>
    <n v="24613"/>
    <n v="133"/>
  </r>
  <r>
    <s v="P118"/>
    <x v="3"/>
    <d v="2024-11-04T00:00:00"/>
    <x v="4"/>
    <s v="Check out our latest image on facebook!"/>
    <n v="4551"/>
    <n v="714"/>
    <n v="207"/>
    <n v="68265"/>
    <n v="67754"/>
    <n v="57"/>
  </r>
  <r>
    <s v="P257"/>
    <x v="3"/>
    <d v="2025-04-06T00:00:00"/>
    <x v="4"/>
    <s v="Check out our latest image on facebook!"/>
    <n v="3090"/>
    <n v="697"/>
    <n v="164"/>
    <n v="49440"/>
    <n v="48524"/>
    <n v="25"/>
  </r>
  <r>
    <s v="P091"/>
    <x v="3"/>
    <d v="2025-03-24T00:00:00"/>
    <x v="4"/>
    <s v="Check out our latest image on facebook!"/>
    <n v="1263"/>
    <n v="397"/>
    <n v="357"/>
    <n v="25260"/>
    <n v="24615"/>
    <n v="137"/>
  </r>
  <r>
    <s v="P274"/>
    <x v="1"/>
    <d v="2025-01-01T00:00:00"/>
    <x v="3"/>
    <s v="Check out our latest carousel on twitter!"/>
    <n v="3535"/>
    <n v="494"/>
    <n v="152"/>
    <n v="53025"/>
    <n v="52791"/>
    <n v="44"/>
  </r>
  <r>
    <s v="P051"/>
    <x v="3"/>
    <d v="2024-06-13T00:00:00"/>
    <x v="3"/>
    <s v="Check out our latest carousel on facebook!"/>
    <n v="2200"/>
    <n v="504"/>
    <n v="239"/>
    <n v="37400"/>
    <n v="36938"/>
    <n v="225"/>
  </r>
  <r>
    <s v="P080"/>
    <x v="0"/>
    <d v="2024-06-13T00:00:00"/>
    <x v="0"/>
    <s v="Check out our latest story on instagram!"/>
    <n v="2103"/>
    <n v="892"/>
    <n v="103"/>
    <n v="39957"/>
    <n v="39466"/>
    <n v="28"/>
  </r>
  <r>
    <s v="P230"/>
    <x v="3"/>
    <d v="2024-07-15T00:00:00"/>
    <x v="1"/>
    <s v="Check out our latest reel on facebook!"/>
    <n v="3663"/>
    <n v="17"/>
    <n v="295"/>
    <n v="51282"/>
    <n v="50567"/>
    <n v="84"/>
  </r>
  <r>
    <s v="P149"/>
    <x v="1"/>
    <d v="2024-06-16T00:00:00"/>
    <x v="2"/>
    <s v="Check out our latest video on twitter!"/>
    <n v="1702"/>
    <n v="750"/>
    <n v="179"/>
    <n v="34040"/>
    <n v="33174"/>
    <n v="76"/>
  </r>
  <r>
    <s v="P021"/>
    <x v="0"/>
    <d v="2025-01-04T00:00:00"/>
    <x v="1"/>
    <s v="Check out our latest reel on instagram!"/>
    <n v="4838"/>
    <n v="640"/>
    <n v="128"/>
    <n v="72570"/>
    <n v="72396"/>
    <n v="83"/>
  </r>
  <r>
    <s v="P023"/>
    <x v="3"/>
    <d v="2024-11-06T00:00:00"/>
    <x v="2"/>
    <s v="Check out our latest video on facebook!"/>
    <n v="1606"/>
    <n v="547"/>
    <n v="316"/>
    <n v="32120"/>
    <n v="31736"/>
    <n v="225"/>
  </r>
  <r>
    <s v="P036"/>
    <x v="0"/>
    <d v="2025-04-19T00:00:00"/>
    <x v="0"/>
    <s v="Check out our latest story on instagram!"/>
    <n v="4518"/>
    <n v="285"/>
    <n v="383"/>
    <n v="67770"/>
    <n v="67621"/>
    <n v="31"/>
  </r>
  <r>
    <s v="P002"/>
    <x v="1"/>
    <d v="2025-04-03T00:00:00"/>
    <x v="5"/>
    <s v="Check out our latest text on twitter!"/>
    <n v="4054"/>
    <n v="389"/>
    <n v="493"/>
    <n v="64864"/>
    <n v="64383"/>
    <n v="117"/>
  </r>
  <r>
    <s v="P234"/>
    <x v="3"/>
    <d v="2024-06-01T00:00:00"/>
    <x v="5"/>
    <s v="Check out our latest text on facebook!"/>
    <n v="1272"/>
    <n v="465"/>
    <n v="99"/>
    <n v="24168"/>
    <n v="23719"/>
    <n v="42"/>
  </r>
  <r>
    <s v="P013"/>
    <x v="2"/>
    <d v="2024-11-18T00:00:00"/>
    <x v="3"/>
    <s v="Check out our latest carousel on youtube!"/>
    <n v="1171"/>
    <n v="286"/>
    <n v="231"/>
    <n v="22249"/>
    <n v="21282"/>
    <n v="114"/>
  </r>
  <r>
    <s v="P016"/>
    <x v="3"/>
    <d v="2024-08-26T00:00:00"/>
    <x v="5"/>
    <s v="Check out our latest text on facebook!"/>
    <n v="3452"/>
    <n v="377"/>
    <n v="360"/>
    <n v="55232"/>
    <n v="55075"/>
    <n v="87"/>
  </r>
  <r>
    <s v="P179"/>
    <x v="3"/>
    <d v="2024-07-15T00:00:00"/>
    <x v="3"/>
    <s v="Check out our latest carousel on facebook!"/>
    <n v="3796"/>
    <n v="667"/>
    <n v="395"/>
    <n v="64532"/>
    <n v="63550"/>
    <n v="292"/>
  </r>
  <r>
    <s v="P045"/>
    <x v="3"/>
    <d v="2024-11-01T00:00:00"/>
    <x v="2"/>
    <s v="Check out our latest video on facebook!"/>
    <n v="3371"/>
    <n v="106"/>
    <n v="327"/>
    <n v="50565"/>
    <n v="49816"/>
    <n v="176"/>
  </r>
  <r>
    <s v="P168"/>
    <x v="3"/>
    <d v="2024-11-12T00:00:00"/>
    <x v="5"/>
    <s v="Check out our latest text on facebook!"/>
    <n v="2418"/>
    <n v="754"/>
    <n v="54"/>
    <n v="43524"/>
    <n v="42743"/>
    <n v="182"/>
  </r>
  <r>
    <s v="P111"/>
    <x v="2"/>
    <d v="2024-11-23T00:00:00"/>
    <x v="4"/>
    <s v="Check out our latest image on youtube!"/>
    <n v="2719"/>
    <n v="17"/>
    <n v="285"/>
    <n v="40785"/>
    <n v="40281"/>
    <n v="40"/>
  </r>
  <r>
    <s v="P101"/>
    <x v="2"/>
    <d v="2024-10-18T00:00:00"/>
    <x v="2"/>
    <s v="Check out our latest video on youtube!"/>
    <n v="4450"/>
    <n v="983"/>
    <n v="143"/>
    <n v="75650"/>
    <n v="75008"/>
    <n v="12"/>
  </r>
  <r>
    <s v="P048"/>
    <x v="1"/>
    <d v="2025-03-11T00:00:00"/>
    <x v="0"/>
    <s v="Check out our latest story on twitter!"/>
    <n v="1950"/>
    <n v="295"/>
    <n v="478"/>
    <n v="37050"/>
    <n v="36272"/>
    <n v="119"/>
  </r>
  <r>
    <s v="P250"/>
    <x v="3"/>
    <d v="2024-06-22T00:00:00"/>
    <x v="1"/>
    <s v="Check out our latest reel on facebook!"/>
    <n v="3813"/>
    <n v="935"/>
    <n v="274"/>
    <n v="68634"/>
    <n v="68488"/>
    <n v="251"/>
  </r>
  <r>
    <s v="P289"/>
    <x v="3"/>
    <d v="2024-11-28T00:00:00"/>
    <x v="3"/>
    <s v="Check out our latest carousel on facebook!"/>
    <n v="2751"/>
    <n v="33"/>
    <n v="430"/>
    <n v="44016"/>
    <n v="43415"/>
    <n v="129"/>
  </r>
  <r>
    <s v="P233"/>
    <x v="3"/>
    <d v="2025-03-08T00:00:00"/>
    <x v="4"/>
    <s v="Check out our latest image on facebook!"/>
    <n v="2382"/>
    <n v="265"/>
    <n v="134"/>
    <n v="38112"/>
    <n v="37437"/>
    <n v="249"/>
  </r>
  <r>
    <s v="P172"/>
    <x v="3"/>
    <d v="2024-08-14T00:00:00"/>
    <x v="3"/>
    <s v="Check out our latest carousel on facebook!"/>
    <n v="3073"/>
    <n v="553"/>
    <n v="174"/>
    <n v="52241"/>
    <n v="51605"/>
    <n v="246"/>
  </r>
  <r>
    <s v="P238"/>
    <x v="1"/>
    <d v="2024-07-16T00:00:00"/>
    <x v="5"/>
    <s v="Check out our latest text on twitter!"/>
    <n v="4725"/>
    <n v="400"/>
    <n v="362"/>
    <n v="75600"/>
    <n v="74927"/>
    <n v="43"/>
  </r>
  <r>
    <s v="P189"/>
    <x v="3"/>
    <d v="2025-03-24T00:00:00"/>
    <x v="1"/>
    <s v="Check out our latest reel on facebook!"/>
    <n v="3360"/>
    <n v="525"/>
    <n v="500"/>
    <n v="60480"/>
    <n v="59610"/>
    <n v="192"/>
  </r>
  <r>
    <s v="P039"/>
    <x v="3"/>
    <d v="2024-11-25T00:00:00"/>
    <x v="4"/>
    <s v="Check out our latest image on facebook!"/>
    <n v="3564"/>
    <n v="629"/>
    <n v="177"/>
    <n v="60588"/>
    <n v="59627"/>
    <n v="92"/>
  </r>
  <r>
    <s v="P215"/>
    <x v="3"/>
    <d v="2025-05-06T00:00:00"/>
    <x v="4"/>
    <s v="Check out our latest image on facebook!"/>
    <n v="4872"/>
    <n v="925"/>
    <n v="176"/>
    <n v="82824"/>
    <n v="82543"/>
    <n v="89"/>
  </r>
  <r>
    <s v="P024"/>
    <x v="3"/>
    <d v="2025-01-23T00:00:00"/>
    <x v="2"/>
    <s v="Check out our latest video on facebook!"/>
    <n v="3961"/>
    <n v="761"/>
    <n v="131"/>
    <n v="67337"/>
    <n v="66615"/>
    <n v="161"/>
  </r>
  <r>
    <s v="P099"/>
    <x v="2"/>
    <d v="2024-07-02T00:00:00"/>
    <x v="3"/>
    <s v="Check out our latest carousel on youtube!"/>
    <n v="4171"/>
    <n v="548"/>
    <n v="86"/>
    <n v="66736"/>
    <n v="66634"/>
    <n v="173"/>
  </r>
  <r>
    <s v="P010"/>
    <x v="3"/>
    <d v="2025-03-11T00:00:00"/>
    <x v="4"/>
    <s v="Check out our latest image on facebook!"/>
    <n v="4241"/>
    <n v="902"/>
    <n v="47"/>
    <n v="72097"/>
    <n v="71598"/>
    <n v="167"/>
  </r>
  <r>
    <s v="P291"/>
    <x v="3"/>
    <d v="2024-11-06T00:00:00"/>
    <x v="2"/>
    <s v="Check out our latest video on facebook!"/>
    <n v="4663"/>
    <n v="145"/>
    <n v="225"/>
    <n v="69945"/>
    <n v="69596"/>
    <n v="35"/>
  </r>
  <r>
    <s v="P133"/>
    <x v="3"/>
    <d v="2025-02-06T00:00:00"/>
    <x v="4"/>
    <s v="Check out our latest image on facebook!"/>
    <n v="2072"/>
    <n v="532"/>
    <n v="71"/>
    <n v="37296"/>
    <n v="36467"/>
    <n v="25"/>
  </r>
  <r>
    <s v="P027"/>
    <x v="2"/>
    <d v="2024-09-17T00:00:00"/>
    <x v="5"/>
    <s v="Check out our latest text on youtube!"/>
    <n v="2076"/>
    <n v="195"/>
    <n v="104"/>
    <n v="33216"/>
    <n v="32244"/>
    <n v="51"/>
  </r>
  <r>
    <s v="P134"/>
    <x v="1"/>
    <d v="2025-04-24T00:00:00"/>
    <x v="1"/>
    <s v="Check out our latest reel on twitter!"/>
    <n v="3731"/>
    <n v="115"/>
    <n v="135"/>
    <n v="55965"/>
    <n v="55436"/>
    <n v="103"/>
  </r>
  <r>
    <s v="P090"/>
    <x v="0"/>
    <d v="2024-06-03T00:00:00"/>
    <x v="4"/>
    <s v="Check out our latest image on instagram!"/>
    <n v="3861"/>
    <n v="960"/>
    <n v="101"/>
    <n v="69498"/>
    <n v="68817"/>
    <n v="297"/>
  </r>
  <r>
    <s v="P034"/>
    <x v="3"/>
    <d v="2025-03-26T00:00:00"/>
    <x v="5"/>
    <s v="Check out our latest text on facebook!"/>
    <n v="1652"/>
    <n v="89"/>
    <n v="357"/>
    <n v="29736"/>
    <n v="28771"/>
    <n v="215"/>
  </r>
  <r>
    <s v="P007"/>
    <x v="1"/>
    <d v="2024-06-24T00:00:00"/>
    <x v="3"/>
    <s v="Check out our latest carousel on twitter!"/>
    <n v="3860"/>
    <n v="201"/>
    <n v="279"/>
    <n v="61760"/>
    <n v="61660"/>
    <n v="235"/>
  </r>
  <r>
    <s v="P142"/>
    <x v="2"/>
    <d v="2025-03-25T00:00:00"/>
    <x v="0"/>
    <s v="Check out our latest story on youtube!"/>
    <n v="2070"/>
    <n v="275"/>
    <n v="386"/>
    <n v="39330"/>
    <n v="38627"/>
    <n v="114"/>
  </r>
  <r>
    <s v="P127"/>
    <x v="3"/>
    <d v="2025-01-27T00:00:00"/>
    <x v="1"/>
    <s v="Check out our latest reel on facebook!"/>
    <n v="3452"/>
    <n v="652"/>
    <n v="442"/>
    <n v="65588"/>
    <n v="65049"/>
    <n v="158"/>
  </r>
  <r>
    <s v="P170"/>
    <x v="1"/>
    <d v="2025-04-28T00:00:00"/>
    <x v="5"/>
    <s v="Check out our latest text on twitter!"/>
    <n v="3577"/>
    <n v="596"/>
    <n v="493"/>
    <n v="67963"/>
    <n v="67839"/>
    <n v="53"/>
  </r>
  <r>
    <s v="P095"/>
    <x v="0"/>
    <d v="2024-11-08T00:00:00"/>
    <x v="5"/>
    <s v="Check out our latest text on instagram!"/>
    <n v="3182"/>
    <n v="559"/>
    <n v="160"/>
    <n v="57276"/>
    <n v="56890"/>
    <n v="163"/>
  </r>
  <r>
    <s v="P288"/>
    <x v="2"/>
    <d v="2025-04-17T00:00:00"/>
    <x v="3"/>
    <s v="Check out our latest carousel on youtube!"/>
    <n v="4780"/>
    <n v="691"/>
    <n v="380"/>
    <n v="86040"/>
    <n v="85743"/>
    <n v="262"/>
  </r>
  <r>
    <s v="P237"/>
    <x v="0"/>
    <d v="2024-10-22T00:00:00"/>
    <x v="0"/>
    <s v="Check out our latest story on instagram!"/>
    <n v="3770"/>
    <n v="917"/>
    <n v="129"/>
    <n v="71630"/>
    <n v="71322"/>
    <n v="76"/>
  </r>
  <r>
    <s v="P270"/>
    <x v="2"/>
    <d v="2025-01-15T00:00:00"/>
    <x v="1"/>
    <s v="Check out our latest reel on youtube!"/>
    <n v="3774"/>
    <n v="239"/>
    <n v="39"/>
    <n v="60384"/>
    <n v="59490"/>
    <n v="241"/>
  </r>
  <r>
    <s v="P005"/>
    <x v="2"/>
    <d v="2024-06-26T00:00:00"/>
    <x v="1"/>
    <s v="Check out our latest reel on youtube!"/>
    <n v="3557"/>
    <n v="687"/>
    <n v="424"/>
    <n v="71140"/>
    <n v="70701"/>
    <n v="224"/>
  </r>
  <r>
    <s v="P086"/>
    <x v="2"/>
    <d v="2025-01-27T00:00:00"/>
    <x v="5"/>
    <s v="Check out our latest text on youtube!"/>
    <n v="3428"/>
    <n v="305"/>
    <n v="85"/>
    <n v="58276"/>
    <n v="58052"/>
    <n v="242"/>
  </r>
  <r>
    <s v="P144"/>
    <x v="2"/>
    <d v="2024-10-28T00:00:00"/>
    <x v="0"/>
    <s v="Check out our latest story on youtube!"/>
    <n v="4929"/>
    <n v="749"/>
    <n v="452"/>
    <n v="93651"/>
    <n v="92810"/>
    <n v="66"/>
  </r>
  <r>
    <s v="P197"/>
    <x v="1"/>
    <d v="2024-10-22T00:00:00"/>
    <x v="1"/>
    <s v="Check out our latest reel on twitter!"/>
    <n v="4782"/>
    <n v="721"/>
    <n v="82"/>
    <n v="86076"/>
    <n v="85339"/>
    <n v="19"/>
  </r>
  <r>
    <s v="P135"/>
    <x v="3"/>
    <d v="2024-11-28T00:00:00"/>
    <x v="5"/>
    <s v="Check out our latest text on facebook!"/>
    <n v="4213"/>
    <n v="253"/>
    <n v="434"/>
    <n v="75834"/>
    <n v="75437"/>
    <n v="272"/>
  </r>
  <r>
    <s v="P073"/>
    <x v="3"/>
    <d v="2024-10-18T00:00:00"/>
    <x v="0"/>
    <s v="Check out our latest story on facebook!"/>
    <n v="4126"/>
    <n v="426"/>
    <n v="486"/>
    <n v="78394"/>
    <n v="77798"/>
    <n v="88"/>
  </r>
  <r>
    <s v="P267"/>
    <x v="1"/>
    <d v="2024-10-04T00:00:00"/>
    <x v="1"/>
    <s v="Check out our latest reel on twitter!"/>
    <n v="4187"/>
    <n v="66"/>
    <n v="31"/>
    <n v="66992"/>
    <n v="66614"/>
    <n v="62"/>
  </r>
  <r>
    <s v="P020"/>
    <x v="0"/>
    <d v="2024-09-09T00:00:00"/>
    <x v="3"/>
    <s v="Check out our latest carousel on instagram!"/>
    <n v="4054"/>
    <n v="488"/>
    <n v="373"/>
    <n v="77026"/>
    <n v="76881"/>
    <n v="25"/>
  </r>
  <r>
    <s v="P067"/>
    <x v="3"/>
    <d v="2025-03-29T00:00:00"/>
    <x v="3"/>
    <s v="Check out our latest carousel on facebook!"/>
    <n v="4712"/>
    <n v="568"/>
    <n v="127"/>
    <n v="84816"/>
    <n v="84691"/>
    <n v="100"/>
  </r>
  <r>
    <s v="P150"/>
    <x v="2"/>
    <d v="2024-08-22T00:00:00"/>
    <x v="3"/>
    <s v="Check out our latest carousel on youtube!"/>
    <n v="4295"/>
    <n v="853"/>
    <n v="325"/>
    <n v="85900"/>
    <n v="85788"/>
    <n v="290"/>
  </r>
  <r>
    <s v="P281"/>
    <x v="2"/>
    <d v="2025-03-22T00:00:00"/>
    <x v="4"/>
    <s v="Check out our latest image on youtube!"/>
    <n v="3166"/>
    <n v="90"/>
    <n v="341"/>
    <n v="56988"/>
    <n v="56125"/>
    <n v="135"/>
  </r>
  <r>
    <s v="P217"/>
    <x v="3"/>
    <d v="2024-12-03T00:00:00"/>
    <x v="4"/>
    <s v="Check out our latest image on facebook!"/>
    <n v="4606"/>
    <n v="931"/>
    <n v="230"/>
    <n v="92120"/>
    <n v="91440"/>
    <n v="56"/>
  </r>
  <r>
    <s v="P200"/>
    <x v="3"/>
    <d v="2025-04-07T00:00:00"/>
    <x v="1"/>
    <s v="Check out our latest reel on facebook!"/>
    <n v="3718"/>
    <n v="385"/>
    <n v="310"/>
    <n v="70642"/>
    <n v="69749"/>
    <n v="233"/>
  </r>
  <r>
    <s v="P107"/>
    <x v="2"/>
    <d v="2024-06-21T00:00:00"/>
    <x v="4"/>
    <s v="Check out our latest image on youtube!"/>
    <n v="4832"/>
    <n v="893"/>
    <n v="10"/>
    <n v="91808"/>
    <n v="91296"/>
    <n v="182"/>
  </r>
  <r>
    <s v="P115"/>
    <x v="1"/>
    <d v="2025-05-11T00:00:00"/>
    <x v="4"/>
    <s v="Check out our latest image on twitter!"/>
    <n v="2493"/>
    <n v="97"/>
    <n v="44"/>
    <n v="42381"/>
    <n v="41991"/>
    <n v="242"/>
  </r>
  <r>
    <s v="P223"/>
    <x v="1"/>
    <d v="2024-11-12T00:00:00"/>
    <x v="4"/>
    <s v="Check out our latest image on twitter!"/>
    <n v="3338"/>
    <n v="277"/>
    <n v="118"/>
    <n v="60084"/>
    <n v="59842"/>
    <n v="252"/>
  </r>
  <r>
    <s v="P279"/>
    <x v="2"/>
    <d v="2024-09-02T00:00:00"/>
    <x v="4"/>
    <s v="Check out our latest image on youtube!"/>
    <n v="4905"/>
    <n v="845"/>
    <n v="129"/>
    <n v="98100"/>
    <n v="97772"/>
    <n v="279"/>
  </r>
  <r>
    <s v="P025"/>
    <x v="1"/>
    <d v="2025-04-10T00:00:00"/>
    <x v="3"/>
    <s v="Check out our latest carousel on twitter!"/>
    <n v="3128"/>
    <n v="211"/>
    <n v="197"/>
    <n v="59432"/>
    <n v="59182"/>
    <n v="238"/>
  </r>
  <r>
    <s v="P015"/>
    <x v="3"/>
    <d v="2024-10-24T00:00:00"/>
    <x v="2"/>
    <s v="Check out our latest video on facebook!"/>
    <n v="3888"/>
    <n v="604"/>
    <n v="128"/>
    <n v="77760"/>
    <n v="77167"/>
    <n v="20"/>
  </r>
  <r>
    <s v="P296"/>
    <x v="1"/>
    <d v="2025-02-11T00:00:00"/>
    <x v="2"/>
    <s v="Check out our latest video on twitter!"/>
    <n v="3440"/>
    <n v="13"/>
    <n v="20"/>
    <n v="58480"/>
    <n v="58146"/>
    <n v="210"/>
  </r>
  <r>
    <s v="P298"/>
    <x v="3"/>
    <d v="2024-10-24T00:00:00"/>
    <x v="4"/>
    <s v="Check out our latest image on facebook!"/>
    <n v="4303"/>
    <n v="451"/>
    <n v="286"/>
    <n v="86060"/>
    <n v="85823"/>
    <n v="14"/>
  </r>
  <r>
    <s v="P216"/>
    <x v="2"/>
    <d v="2024-07-29T00:00:00"/>
    <x v="0"/>
    <s v="Check out our latest story on youtube!"/>
    <n v="1509"/>
    <n v="88"/>
    <n v="163"/>
    <n v="30180"/>
    <n v="29689"/>
    <n v="119"/>
  </r>
  <r>
    <s v="P283"/>
    <x v="1"/>
    <d v="2025-05-09T00:00:00"/>
    <x v="1"/>
    <s v="Check out our latest reel on twitter!"/>
    <n v="3367"/>
    <n v="302"/>
    <n v="57"/>
    <n v="63973"/>
    <n v="63789"/>
    <n v="157"/>
  </r>
  <r>
    <s v="P256"/>
    <x v="2"/>
    <d v="2024-09-18T00:00:00"/>
    <x v="3"/>
    <s v="Check out our latest carousel on youtube!"/>
    <n v="2143"/>
    <n v="12"/>
    <n v="204"/>
    <n v="40717"/>
    <n v="40125"/>
    <n v="248"/>
  </r>
  <r>
    <s v="P030"/>
    <x v="0"/>
    <d v="2025-02-25T00:00:00"/>
    <x v="2"/>
    <s v="Check out our latest video on instagram!"/>
    <n v="3095"/>
    <n v="39"/>
    <n v="78"/>
    <n v="55710"/>
    <n v="54808"/>
    <n v="93"/>
  </r>
  <r>
    <s v="P203"/>
    <x v="0"/>
    <d v="2024-11-21T00:00:00"/>
    <x v="3"/>
    <s v="Check out our latest carousel on instagram!"/>
    <n v="3773"/>
    <n v="299"/>
    <n v="38"/>
    <n v="71687"/>
    <n v="71447"/>
    <n v="286"/>
  </r>
  <r>
    <s v="P225"/>
    <x v="1"/>
    <d v="2024-06-20T00:00:00"/>
    <x v="3"/>
    <s v="Check out our latest carousel on twitter!"/>
    <n v="4672"/>
    <n v="325"/>
    <n v="32"/>
    <n v="88768"/>
    <n v="87833"/>
    <n v="118"/>
  </r>
  <r>
    <s v="P145"/>
    <x v="0"/>
    <d v="2024-08-12T00:00:00"/>
    <x v="3"/>
    <s v="Check out our latest carousel on instagram!"/>
    <n v="1878"/>
    <n v="62"/>
    <n v="179"/>
    <n v="37560"/>
    <n v="36874"/>
    <n v="142"/>
  </r>
  <r>
    <s v="P190"/>
    <x v="2"/>
    <d v="2024-10-04T00:00:00"/>
    <x v="5"/>
    <s v="Check out our latest text on youtube!"/>
    <n v="1963"/>
    <n v="213"/>
    <n v="19"/>
    <n v="39260"/>
    <n v="38771"/>
    <n v="145"/>
  </r>
  <r>
    <s v="P003"/>
    <x v="2"/>
    <d v="2025-05-12T00:00:00"/>
    <x v="1"/>
    <s v="Check out our latest reel on youtube!"/>
    <n v="2795"/>
    <n v="105"/>
    <n v="49"/>
    <n v="53105"/>
    <n v="52307"/>
    <n v="204"/>
  </r>
  <r>
    <s v="P176"/>
    <x v="3"/>
    <d v="2024-06-20T00:00:00"/>
    <x v="2"/>
    <s v="Check out our latest video on facebook!"/>
    <n v="3798"/>
    <n v="31"/>
    <n v="279"/>
    <n v="75960"/>
    <n v="75813"/>
    <n v="266"/>
  </r>
  <r>
    <s v="P063"/>
    <x v="1"/>
    <d v="2024-07-31T00:00:00"/>
    <x v="3"/>
    <s v="Check out our latest carousel on twitter!"/>
    <n v="4507"/>
    <n v="217"/>
    <n v="13"/>
    <n v="90140"/>
    <n v="89591"/>
    <n v="125"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  <r>
    <m/>
    <x v="4"/>
    <m/>
    <x v="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P220"/>
    <s v="Instagram"/>
    <d v="2024-06-02T00:00:00"/>
    <s v="Story"/>
    <s v="Check out our latest story on instagram!"/>
    <n v="84"/>
    <n v="897"/>
    <n v="85"/>
    <n v="588"/>
    <n v="8"/>
    <n v="12"/>
    <x v="0"/>
  </r>
  <r>
    <s v="P058"/>
    <s v="Instagram"/>
    <d v="2025-04-15T00:00:00"/>
    <s v="Reel"/>
    <s v="Check out our latest reel on instagram!"/>
    <n v="103"/>
    <n v="770"/>
    <n v="19"/>
    <n v="1030"/>
    <n v="410"/>
    <n v="262"/>
    <x v="1"/>
  </r>
  <r>
    <s v="P232"/>
    <s v="Twitter"/>
    <d v="2025-04-29T00:00:00"/>
    <s v="Story"/>
    <s v="Check out our latest story on twitter!"/>
    <n v="249"/>
    <n v="592"/>
    <n v="230"/>
    <n v="1494"/>
    <n v="1044"/>
    <n v="201"/>
    <x v="0"/>
  </r>
  <r>
    <s v="P178"/>
    <s v="Instagram"/>
    <d v="2024-11-07T00:00:00"/>
    <s v="Video"/>
    <s v="Check out our latest video on instagram!"/>
    <n v="129"/>
    <n v="643"/>
    <n v="136"/>
    <n v="1290"/>
    <n v="839"/>
    <n v="238"/>
    <x v="1"/>
  </r>
  <r>
    <s v="P175"/>
    <s v="Instagram"/>
    <d v="2025-01-17T00:00:00"/>
    <s v="Reel"/>
    <s v="Check out our latest reel on instagram!"/>
    <n v="142"/>
    <n v="784"/>
    <n v="183"/>
    <n v="1704"/>
    <n v="995"/>
    <n v="154"/>
    <x v="2"/>
  </r>
  <r>
    <s v="P062"/>
    <s v="Twitter"/>
    <d v="2024-11-22T00:00:00"/>
    <s v="Carousel"/>
    <s v="Check out our latest carousel on twitter!"/>
    <n v="53"/>
    <n v="81"/>
    <n v="379"/>
    <n v="954"/>
    <n v="7"/>
    <n v="148"/>
    <x v="1"/>
  </r>
  <r>
    <s v="P264"/>
    <s v="Twitter"/>
    <d v="2025-01-30T00:00:00"/>
    <s v="Image"/>
    <s v="Check out our latest image on twitter!"/>
    <n v="59"/>
    <n v="163"/>
    <n v="93"/>
    <n v="590"/>
    <n v="475"/>
    <n v="293"/>
    <x v="1"/>
  </r>
  <r>
    <s v="P143"/>
    <s v="YouTube"/>
    <d v="2024-10-02T00:00:00"/>
    <s v="Carousel"/>
    <s v="Check out our latest carousel on youtube!"/>
    <n v="80"/>
    <n v="362"/>
    <n v="80"/>
    <n v="1040"/>
    <n v="349"/>
    <n v="117"/>
    <x v="1"/>
  </r>
  <r>
    <s v="P210"/>
    <s v="YouTube"/>
    <d v="2025-02-19T00:00:00"/>
    <s v="Image"/>
    <s v="Check out our latest image on youtube!"/>
    <n v="257"/>
    <n v="966"/>
    <n v="398"/>
    <n v="3341"/>
    <n v="2753"/>
    <n v="287"/>
    <x v="2"/>
  </r>
  <r>
    <s v="P070"/>
    <s v="Facebook"/>
    <d v="2025-04-02T00:00:00"/>
    <s v="Video"/>
    <s v="Check out our latest video on facebook!"/>
    <n v="199"/>
    <n v="772"/>
    <n v="400"/>
    <n v="3582"/>
    <n v="2988"/>
    <n v="43"/>
    <x v="1"/>
  </r>
  <r>
    <s v="P214"/>
    <s v="Instagram"/>
    <d v="2024-12-23T00:00:00"/>
    <s v="Image"/>
    <s v="Check out our latest image on instagram!"/>
    <n v="521"/>
    <n v="746"/>
    <n v="315"/>
    <n v="4168"/>
    <n v="3399"/>
    <n v="282"/>
    <x v="2"/>
  </r>
  <r>
    <s v="P053"/>
    <s v="YouTube"/>
    <d v="2025-02-24T00:00:00"/>
    <s v="Carousel"/>
    <s v="Check out our latest carousel on youtube!"/>
    <n v="804"/>
    <n v="639"/>
    <n v="43"/>
    <n v="4020"/>
    <n v="3144"/>
    <n v="11"/>
    <x v="0"/>
  </r>
  <r>
    <s v="P102"/>
    <s v="Twitter"/>
    <d v="2024-09-18T00:00:00"/>
    <s v="Reel"/>
    <s v="Check out our latest reel on twitter!"/>
    <n v="1000"/>
    <n v="978"/>
    <n v="162"/>
    <n v="6000"/>
    <n v="5221"/>
    <n v="223"/>
    <x v="0"/>
  </r>
  <r>
    <s v="P124"/>
    <s v="YouTube"/>
    <d v="2025-04-06T00:00:00"/>
    <s v="Carousel"/>
    <s v="Check out our latest carousel on youtube!"/>
    <n v="736"/>
    <n v="771"/>
    <n v="225"/>
    <n v="5152"/>
    <n v="4706"/>
    <n v="19"/>
    <x v="0"/>
  </r>
  <r>
    <s v="P121"/>
    <s v="Instagram"/>
    <d v="2024-07-29T00:00:00"/>
    <s v="Story"/>
    <s v="Check out our latest story on instagram!"/>
    <n v="498"/>
    <n v="701"/>
    <n v="412"/>
    <n v="4980"/>
    <n v="4185"/>
    <n v="185"/>
    <x v="2"/>
  </r>
  <r>
    <s v="P224"/>
    <s v="Facebook"/>
    <d v="2025-05-13T00:00:00"/>
    <s v="Image"/>
    <s v="Check out our latest image on facebook!"/>
    <n v="602"/>
    <n v="594"/>
    <n v="156"/>
    <n v="4214"/>
    <n v="3363"/>
    <n v="164"/>
    <x v="1"/>
  </r>
  <r>
    <s v="P154"/>
    <s v="Instagram"/>
    <d v="2024-10-09T00:00:00"/>
    <s v="Carousel"/>
    <s v="Check out our latest carousel on instagram!"/>
    <n v="985"/>
    <n v="932"/>
    <n v="287"/>
    <n v="6895"/>
    <n v="6757"/>
    <n v="64"/>
    <x v="2"/>
  </r>
  <r>
    <s v="P119"/>
    <s v="Instagram"/>
    <d v="2025-02-07T00:00:00"/>
    <s v="Reel"/>
    <s v="Check out our latest reel on instagram!"/>
    <n v="1970"/>
    <n v="675"/>
    <n v="478"/>
    <n v="9850"/>
    <n v="8924"/>
    <n v="117"/>
    <x v="2"/>
  </r>
  <r>
    <s v="P287"/>
    <s v="Instagram"/>
    <d v="2024-08-15T00:00:00"/>
    <s v="Reel"/>
    <s v="Check out our latest reel on instagram!"/>
    <n v="1164"/>
    <n v="616"/>
    <n v="324"/>
    <n v="6984"/>
    <n v="6636"/>
    <n v="82"/>
    <x v="0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x v="2"/>
  </r>
  <r>
    <s v="P066"/>
    <s v="Twitter"/>
    <d v="2024-07-26T00:00:00"/>
    <s v="Carousel"/>
    <s v="Check out our latest carousel on twitter!"/>
    <n v="432"/>
    <n v="171"/>
    <n v="280"/>
    <n v="3024"/>
    <n v="2285"/>
    <n v="184"/>
    <x v="0"/>
  </r>
  <r>
    <s v="P183"/>
    <s v="Instagram"/>
    <d v="2024-12-17T00:00:00"/>
    <s v="Story"/>
    <s v="Check out our latest story on instagram!"/>
    <n v="360"/>
    <n v="590"/>
    <n v="393"/>
    <n v="4680"/>
    <n v="4322"/>
    <n v="208"/>
    <x v="2"/>
  </r>
  <r>
    <s v="P031"/>
    <s v="Instagram"/>
    <d v="2024-12-16T00:00:00"/>
    <s v="Text"/>
    <s v="Check out our latest text on instagram!"/>
    <n v="438"/>
    <n v="153"/>
    <n v="275"/>
    <n v="3066"/>
    <n v="2701"/>
    <n v="282"/>
    <x v="1"/>
  </r>
  <r>
    <s v="P093"/>
    <s v="Instagram"/>
    <d v="2024-12-11T00:00:00"/>
    <s v="Video"/>
    <s v="Check out our latest video on instagram!"/>
    <n v="1431"/>
    <n v="951"/>
    <n v="26"/>
    <n v="8586"/>
    <n v="8396"/>
    <n v="150"/>
    <x v="0"/>
  </r>
  <r>
    <s v="P263"/>
    <s v="Instagram"/>
    <d v="2024-08-20T00:00:00"/>
    <s v="Reel"/>
    <s v="Check out our latest reel on instagram!"/>
    <n v="2603"/>
    <n v="690"/>
    <n v="205"/>
    <n v="13015"/>
    <n v="12130"/>
    <n v="20"/>
    <x v="2"/>
  </r>
  <r>
    <s v="P248"/>
    <s v="Facebook"/>
    <d v="2025-02-02T00:00:00"/>
    <s v="Story"/>
    <s v="Check out our latest story on facebook!"/>
    <n v="886"/>
    <n v="126"/>
    <n v="153"/>
    <n v="4430"/>
    <n v="4037"/>
    <n v="212"/>
    <x v="0"/>
  </r>
  <r>
    <s v="P244"/>
    <s v="YouTube"/>
    <d v="2024-10-25T00:00:00"/>
    <s v="Video"/>
    <s v="Check out our latest video on youtube!"/>
    <n v="4661"/>
    <n v="935"/>
    <n v="433"/>
    <n v="23305"/>
    <n v="22583"/>
    <n v="63"/>
    <x v="2"/>
  </r>
  <r>
    <s v="P259"/>
    <s v="Facebook"/>
    <d v="2025-02-10T00:00:00"/>
    <s v="Text"/>
    <s v="Check out our latest text on facebook!"/>
    <n v="562"/>
    <n v="158"/>
    <n v="149"/>
    <n v="3372"/>
    <n v="2940"/>
    <n v="93"/>
    <x v="1"/>
  </r>
  <r>
    <s v="P219"/>
    <s v="Twitter"/>
    <d v="2025-01-28T00:00:00"/>
    <s v="Reel"/>
    <s v="Check out our latest reel on twitter!"/>
    <n v="1188"/>
    <n v="470"/>
    <n v="174"/>
    <n v="7128"/>
    <n v="6145"/>
    <n v="270"/>
    <x v="1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x v="1"/>
  </r>
  <r>
    <s v="P265"/>
    <s v="Twitter"/>
    <d v="2025-02-20T00:00:00"/>
    <s v="Carousel"/>
    <s v="Check out our latest carousel on twitter!"/>
    <n v="1877"/>
    <n v="745"/>
    <n v="225"/>
    <n v="11262"/>
    <n v="10967"/>
    <n v="41"/>
    <x v="0"/>
  </r>
  <r>
    <s v="P239"/>
    <s v="YouTube"/>
    <d v="2025-02-24T00:00:00"/>
    <s v="Text"/>
    <s v="Check out our latest text on youtube!"/>
    <n v="4188"/>
    <n v="942"/>
    <n v="118"/>
    <n v="20940"/>
    <n v="20471"/>
    <n v="102"/>
    <x v="2"/>
  </r>
  <r>
    <s v="P277"/>
    <s v="Facebook"/>
    <d v="2025-04-06T00:00:00"/>
    <s v="Image"/>
    <s v="Check out our latest image on facebook!"/>
    <n v="4236"/>
    <n v="711"/>
    <n v="298"/>
    <n v="21180"/>
    <n v="20516"/>
    <n v="238"/>
    <x v="2"/>
  </r>
  <r>
    <s v="P297"/>
    <s v="Twitter"/>
    <d v="2024-12-24T00:00:00"/>
    <s v="Text"/>
    <s v="Check out our latest text on twitter!"/>
    <n v="2166"/>
    <n v="354"/>
    <n v="117"/>
    <n v="10830"/>
    <n v="10245"/>
    <n v="24"/>
    <x v="0"/>
  </r>
  <r>
    <s v="P181"/>
    <s v="YouTube"/>
    <d v="2025-03-21T00:00:00"/>
    <s v="Image"/>
    <s v="Check out our latest image on youtube!"/>
    <n v="606"/>
    <n v="789"/>
    <n v="470"/>
    <n v="7878"/>
    <n v="7389"/>
    <n v="239"/>
    <x v="0"/>
  </r>
  <r>
    <s v="P246"/>
    <s v="Facebook"/>
    <d v="2024-10-11T00:00:00"/>
    <s v="Image"/>
    <s v="Check out our latest image on facebook!"/>
    <n v="400"/>
    <n v="680"/>
    <n v="434"/>
    <n v="6400"/>
    <n v="5472"/>
    <n v="160"/>
    <x v="2"/>
  </r>
  <r>
    <s v="P123"/>
    <s v="Instagram"/>
    <d v="2024-06-14T00:00:00"/>
    <s v="Story"/>
    <s v="Check out our latest story on instagram!"/>
    <n v="4363"/>
    <n v="649"/>
    <n v="140"/>
    <n v="21815"/>
    <n v="21481"/>
    <n v="157"/>
    <x v="0"/>
  </r>
  <r>
    <s v="P120"/>
    <s v="Facebook"/>
    <d v="2024-10-21T00:00:00"/>
    <s v="Story"/>
    <s v="Check out our latest story on facebook!"/>
    <n v="780"/>
    <n v="928"/>
    <n v="301"/>
    <n v="8580"/>
    <n v="8081"/>
    <n v="91"/>
    <x v="0"/>
  </r>
  <r>
    <s v="P141"/>
    <s v="Twitter"/>
    <d v="2024-08-31T00:00:00"/>
    <s v="Image"/>
    <s v="Check out our latest image on twitter!"/>
    <n v="3170"/>
    <n v="857"/>
    <n v="379"/>
    <n v="19020"/>
    <n v="18559"/>
    <n v="240"/>
    <x v="2"/>
  </r>
  <r>
    <s v="P163"/>
    <s v="Instagram"/>
    <d v="2025-04-08T00:00:00"/>
    <s v="Image"/>
    <s v="Check out our latest image on instagram!"/>
    <n v="4501"/>
    <n v="375"/>
    <n v="323"/>
    <n v="22505"/>
    <n v="21836"/>
    <n v="132"/>
    <x v="1"/>
  </r>
  <r>
    <s v="P269"/>
    <s v="Instagram"/>
    <d v="2024-11-05T00:00:00"/>
    <s v="Video"/>
    <s v="Check out our latest video on instagram!"/>
    <n v="4561"/>
    <n v="51"/>
    <n v="441"/>
    <n v="22805"/>
    <n v="21890"/>
    <n v="45"/>
    <x v="1"/>
  </r>
  <r>
    <s v="P042"/>
    <s v="YouTube"/>
    <d v="2025-03-05T00:00:00"/>
    <s v="Reel"/>
    <s v="Check out our latest reel on youtube!"/>
    <n v="1543"/>
    <n v="820"/>
    <n v="333"/>
    <n v="12344"/>
    <n v="11496"/>
    <n v="241"/>
    <x v="0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x v="1"/>
  </r>
  <r>
    <s v="P159"/>
    <s v="Facebook"/>
    <d v="2024-11-25T00:00:00"/>
    <s v="Story"/>
    <s v="Check out our latest story on facebook!"/>
    <n v="2120"/>
    <n v="158"/>
    <n v="488"/>
    <n v="12720"/>
    <n v="12085"/>
    <n v="17"/>
    <x v="2"/>
  </r>
  <r>
    <s v="P146"/>
    <s v="YouTube"/>
    <d v="2024-06-05T00:00:00"/>
    <s v="Reel"/>
    <s v="Check out our latest reel on youtube!"/>
    <n v="3065"/>
    <n v="772"/>
    <n v="142"/>
    <n v="18390"/>
    <n v="17875"/>
    <n v="200"/>
    <x v="0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x v="2"/>
  </r>
  <r>
    <s v="P137"/>
    <s v="Facebook"/>
    <d v="2024-07-31T00:00:00"/>
    <s v="Video"/>
    <s v="Check out our latest video on facebook!"/>
    <n v="3008"/>
    <n v="94"/>
    <n v="37"/>
    <n v="15040"/>
    <n v="14639"/>
    <n v="277"/>
    <x v="2"/>
  </r>
  <r>
    <s v="P087"/>
    <s v="Twitter"/>
    <d v="2024-06-06T00:00:00"/>
    <s v="Video"/>
    <s v="Check out our latest video on twitter!"/>
    <n v="1436"/>
    <n v="765"/>
    <n v="496"/>
    <n v="12924"/>
    <n v="12701"/>
    <n v="197"/>
    <x v="2"/>
  </r>
  <r>
    <s v="P271"/>
    <s v="Instagram"/>
    <d v="2024-10-17T00:00:00"/>
    <s v="Video"/>
    <s v="Check out our latest video on instagram!"/>
    <n v="3575"/>
    <n v="749"/>
    <n v="111"/>
    <n v="21450"/>
    <n v="20785"/>
    <n v="195"/>
    <x v="0"/>
  </r>
  <r>
    <s v="P077"/>
    <s v="Facebook"/>
    <d v="2025-03-04T00:00:00"/>
    <s v="Story"/>
    <s v="Check out our latest story on facebook!"/>
    <n v="1249"/>
    <n v="116"/>
    <n v="420"/>
    <n v="8743"/>
    <n v="8538"/>
    <n v="63"/>
    <x v="1"/>
  </r>
  <r>
    <s v="P136"/>
    <s v="Instagram"/>
    <d v="2024-07-11T00:00:00"/>
    <s v="Text"/>
    <s v="Check out our latest text on instagram!"/>
    <n v="3134"/>
    <n v="888"/>
    <n v="444"/>
    <n v="21938"/>
    <n v="21337"/>
    <n v="130"/>
    <x v="0"/>
  </r>
  <r>
    <s v="P258"/>
    <s v="Instagram"/>
    <d v="2024-08-05T00:00:00"/>
    <s v="Story"/>
    <s v="Check out our latest story on instagram!"/>
    <n v="3601"/>
    <n v="695"/>
    <n v="75"/>
    <n v="21606"/>
    <n v="21454"/>
    <n v="172"/>
    <x v="0"/>
  </r>
  <r>
    <s v="P276"/>
    <s v="Twitter"/>
    <d v="2024-06-07T00:00:00"/>
    <s v="Carousel"/>
    <s v="Check out our latest carousel on twitter!"/>
    <n v="1556"/>
    <n v="195"/>
    <n v="131"/>
    <n v="9336"/>
    <n v="8875"/>
    <n v="137"/>
    <x v="1"/>
  </r>
  <r>
    <s v="P148"/>
    <s v="Instagram"/>
    <d v="2025-04-15T00:00:00"/>
    <s v="Video"/>
    <s v="Check out our latest video on instagram!"/>
    <n v="4133"/>
    <n v="466"/>
    <n v="327"/>
    <n v="24798"/>
    <n v="24620"/>
    <n v="176"/>
    <x v="0"/>
  </r>
  <r>
    <s v="P198"/>
    <s v="Twitter"/>
    <d v="2024-09-14T00:00:00"/>
    <s v="Image"/>
    <s v="Check out our latest image on twitter!"/>
    <n v="1048"/>
    <n v="374"/>
    <n v="450"/>
    <n v="9432"/>
    <n v="8882"/>
    <n v="158"/>
    <x v="1"/>
  </r>
  <r>
    <s v="P152"/>
    <s v="Facebook"/>
    <d v="2025-04-22T00:00:00"/>
    <s v="Image"/>
    <s v="Check out our latest image on facebook!"/>
    <n v="4804"/>
    <n v="550"/>
    <n v="270"/>
    <n v="28824"/>
    <n v="28370"/>
    <n v="47"/>
    <x v="0"/>
  </r>
  <r>
    <s v="P286"/>
    <s v="YouTube"/>
    <d v="2024-09-25T00:00:00"/>
    <s v="Video"/>
    <s v="Check out our latest video on youtube!"/>
    <n v="3389"/>
    <n v="344"/>
    <n v="229"/>
    <n v="20334"/>
    <n v="19443"/>
    <n v="228"/>
    <x v="2"/>
  </r>
  <r>
    <s v="P068"/>
    <s v="Instagram"/>
    <d v="2024-12-08T00:00:00"/>
    <s v="Story"/>
    <s v="Check out our latest story on instagram!"/>
    <n v="2610"/>
    <n v="126"/>
    <n v="288"/>
    <n v="15660"/>
    <n v="15145"/>
    <n v="73"/>
    <x v="0"/>
  </r>
  <r>
    <s v="P085"/>
    <s v="Instagram"/>
    <d v="2025-04-19T00:00:00"/>
    <s v="Image"/>
    <s v="Check out our latest image on instagram!"/>
    <n v="4177"/>
    <n v="569"/>
    <n v="55"/>
    <n v="25062"/>
    <n v="24847"/>
    <n v="230"/>
    <x v="2"/>
  </r>
  <r>
    <s v="P032"/>
    <s v="Twitter"/>
    <d v="2024-07-31T00:00:00"/>
    <s v="Carousel"/>
    <s v="Check out our latest carousel on twitter!"/>
    <n v="2278"/>
    <n v="10"/>
    <n v="321"/>
    <n v="13668"/>
    <n v="12676"/>
    <n v="275"/>
    <x v="0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x v="1"/>
  </r>
  <r>
    <s v="P211"/>
    <s v="Twitter"/>
    <d v="2024-07-18T00:00:00"/>
    <s v="Carousel"/>
    <s v="Check out our latest carousel on twitter!"/>
    <n v="2120"/>
    <n v="38"/>
    <n v="212"/>
    <n v="12720"/>
    <n v="12564"/>
    <n v="21"/>
    <x v="2"/>
  </r>
  <r>
    <s v="P242"/>
    <s v="Facebook"/>
    <d v="2024-07-07T00:00:00"/>
    <s v="Reel"/>
    <s v="Check out our latest reel on facebook!"/>
    <n v="4767"/>
    <n v="190"/>
    <n v="340"/>
    <n v="28602"/>
    <n v="28044"/>
    <n v="210"/>
    <x v="0"/>
  </r>
  <r>
    <s v="P041"/>
    <s v="Instagram"/>
    <d v="2025-03-08T00:00:00"/>
    <s v="Reel"/>
    <s v="Check out our latest reel on instagram!"/>
    <n v="456"/>
    <n v="629"/>
    <n v="428"/>
    <n v="8208"/>
    <n v="7377"/>
    <n v="205"/>
    <x v="2"/>
  </r>
  <r>
    <s v="P294"/>
    <s v="Facebook"/>
    <d v="2024-06-19T00:00:00"/>
    <s v="Carousel"/>
    <s v="Check out our latest carousel on facebook!"/>
    <n v="4731"/>
    <n v="173"/>
    <n v="276"/>
    <n v="28386"/>
    <n v="28185"/>
    <n v="89"/>
    <x v="0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x v="1"/>
  </r>
  <r>
    <s v="P153"/>
    <s v="Twitter"/>
    <d v="2025-01-01T00:00:00"/>
    <s v="Video"/>
    <s v="Check out our latest video on twitter!"/>
    <n v="754"/>
    <n v="197"/>
    <n v="257"/>
    <n v="6786"/>
    <n v="6221"/>
    <n v="212"/>
    <x v="1"/>
  </r>
  <r>
    <s v="P037"/>
    <s v="Facebook"/>
    <d v="2025-01-06T00:00:00"/>
    <s v="Carousel"/>
    <s v="Check out our latest carousel on facebook!"/>
    <n v="3024"/>
    <n v="925"/>
    <n v="350"/>
    <n v="24192"/>
    <n v="23518"/>
    <n v="36"/>
    <x v="0"/>
  </r>
  <r>
    <s v="P241"/>
    <s v="Facebook"/>
    <d v="2025-01-18T00:00:00"/>
    <s v="Story"/>
    <s v="Check out our latest story on facebook!"/>
    <n v="4321"/>
    <n v="874"/>
    <n v="172"/>
    <n v="30247"/>
    <n v="29254"/>
    <n v="122"/>
    <x v="1"/>
  </r>
  <r>
    <s v="P112"/>
    <s v="Twitter"/>
    <d v="2024-10-05T00:00:00"/>
    <s v="Story"/>
    <s v="Check out our latest story on twitter!"/>
    <n v="1957"/>
    <n v="877"/>
    <n v="238"/>
    <n v="17613"/>
    <n v="16865"/>
    <n v="297"/>
    <x v="2"/>
  </r>
  <r>
    <s v="P129"/>
    <s v="Twitter"/>
    <d v="2024-07-21T00:00:00"/>
    <s v="Text"/>
    <s v="Check out our latest text on twitter!"/>
    <n v="2147"/>
    <n v="430"/>
    <n v="393"/>
    <n v="17176"/>
    <n v="16483"/>
    <n v="170"/>
    <x v="1"/>
  </r>
  <r>
    <s v="P028"/>
    <s v="Instagram"/>
    <d v="2025-03-04T00:00:00"/>
    <s v="Video"/>
    <s v="Check out our latest video on instagram!"/>
    <n v="432"/>
    <n v="624"/>
    <n v="123"/>
    <n v="6912"/>
    <n v="6259"/>
    <n v="79"/>
    <x v="2"/>
  </r>
  <r>
    <s v="P046"/>
    <s v="Twitter"/>
    <d v="2025-05-02T00:00:00"/>
    <s v="Video"/>
    <s v="Check out our latest video on twitter!"/>
    <n v="1108"/>
    <n v="177"/>
    <n v="212"/>
    <n v="8864"/>
    <n v="8710"/>
    <n v="97"/>
    <x v="1"/>
  </r>
  <r>
    <s v="P089"/>
    <s v="Twitter"/>
    <d v="2025-01-10T00:00:00"/>
    <s v="Image"/>
    <s v="Check out our latest image on twitter!"/>
    <n v="2214"/>
    <n v="249"/>
    <n v="152"/>
    <n v="15498"/>
    <n v="14800"/>
    <n v="180"/>
    <x v="0"/>
  </r>
  <r>
    <s v="P094"/>
    <s v="Instagram"/>
    <d v="2024-11-07T00:00:00"/>
    <s v="Image"/>
    <s v="Check out our latest image on instagram!"/>
    <n v="2647"/>
    <n v="304"/>
    <n v="170"/>
    <n v="18529"/>
    <n v="17841"/>
    <n v="46"/>
    <x v="2"/>
  </r>
  <r>
    <s v="P116"/>
    <s v="YouTube"/>
    <d v="2025-03-18T00:00:00"/>
    <s v="Reel"/>
    <s v="Check out our latest reel on youtube!"/>
    <n v="3704"/>
    <n v="186"/>
    <n v="458"/>
    <n v="25928"/>
    <n v="25081"/>
    <n v="131"/>
    <x v="1"/>
  </r>
  <r>
    <s v="P275"/>
    <s v="Facebook"/>
    <d v="2024-08-05T00:00:00"/>
    <s v="Reel"/>
    <s v="Check out our latest reel on facebook!"/>
    <n v="1741"/>
    <n v="831"/>
    <n v="345"/>
    <n v="17410"/>
    <n v="16844"/>
    <n v="58"/>
    <x v="0"/>
  </r>
  <r>
    <s v="P109"/>
    <s v="Twitter"/>
    <d v="2024-08-08T00:00:00"/>
    <s v="Story"/>
    <s v="Check out our latest story on twitter!"/>
    <n v="3649"/>
    <n v="215"/>
    <n v="413"/>
    <n v="25543"/>
    <n v="24963"/>
    <n v="167"/>
    <x v="2"/>
  </r>
  <r>
    <s v="P047"/>
    <s v="Twitter"/>
    <d v="2025-02-24T00:00:00"/>
    <s v="Carousel"/>
    <s v="Check out our latest carousel on twitter!"/>
    <n v="2704"/>
    <n v="752"/>
    <n v="153"/>
    <n v="21632"/>
    <n v="20792"/>
    <n v="127"/>
    <x v="2"/>
  </r>
  <r>
    <s v="P295"/>
    <s v="Twitter"/>
    <d v="2025-05-06T00:00:00"/>
    <s v="Image"/>
    <s v="Check out our latest image on twitter!"/>
    <n v="1952"/>
    <n v="344"/>
    <n v="287"/>
    <n v="15616"/>
    <n v="15403"/>
    <n v="235"/>
    <x v="2"/>
  </r>
  <r>
    <s v="P054"/>
    <s v="YouTube"/>
    <d v="2025-03-13T00:00:00"/>
    <s v="Carousel"/>
    <s v="Check out our latest carousel on youtube!"/>
    <n v="1686"/>
    <n v="904"/>
    <n v="472"/>
    <n v="18546"/>
    <n v="18171"/>
    <n v="52"/>
    <x v="2"/>
  </r>
  <r>
    <s v="P060"/>
    <s v="Instagram"/>
    <d v="2025-01-28T00:00:00"/>
    <s v="Video"/>
    <s v="Check out our latest video on instagram!"/>
    <n v="904"/>
    <n v="973"/>
    <n v="63"/>
    <n v="11752"/>
    <n v="11580"/>
    <n v="84"/>
    <x v="0"/>
  </r>
  <r>
    <s v="P083"/>
    <s v="YouTube"/>
    <d v="2024-10-15T00:00:00"/>
    <s v="Video"/>
    <s v="Check out our latest video on youtube!"/>
    <n v="1094"/>
    <n v="472"/>
    <n v="21"/>
    <n v="9846"/>
    <n v="9609"/>
    <n v="112"/>
    <x v="0"/>
  </r>
  <r>
    <s v="P138"/>
    <s v="Twitter"/>
    <d v="2025-03-29T00:00:00"/>
    <s v="Image"/>
    <s v="Check out our latest image on twitter!"/>
    <n v="305"/>
    <n v="187"/>
    <n v="243"/>
    <n v="4575"/>
    <n v="3704"/>
    <n v="234"/>
    <x v="2"/>
  </r>
  <r>
    <s v="P221"/>
    <s v="Facebook"/>
    <d v="2025-03-23T00:00:00"/>
    <s v="Video"/>
    <s v="Check out our latest video on facebook!"/>
    <n v="4453"/>
    <n v="111"/>
    <n v="420"/>
    <n v="31171"/>
    <n v="30565"/>
    <n v="23"/>
    <x v="1"/>
  </r>
  <r>
    <s v="P252"/>
    <s v="Facebook"/>
    <d v="2025-04-28T00:00:00"/>
    <s v="Carousel"/>
    <s v="Check out our latest carousel on facebook!"/>
    <n v="2089"/>
    <n v="476"/>
    <n v="69"/>
    <n v="16712"/>
    <n v="16309"/>
    <n v="64"/>
    <x v="2"/>
  </r>
  <r>
    <s v="P052"/>
    <s v="Facebook"/>
    <d v="2025-01-03T00:00:00"/>
    <s v="Image"/>
    <s v="Check out our latest image on facebook!"/>
    <n v="947"/>
    <n v="338"/>
    <n v="350"/>
    <n v="10417"/>
    <n v="9730"/>
    <n v="34"/>
    <x v="1"/>
  </r>
  <r>
    <s v="P140"/>
    <s v="Facebook"/>
    <d v="2024-07-15T00:00:00"/>
    <s v="Image"/>
    <s v="Check out our latest image on facebook!"/>
    <n v="2291"/>
    <n v="78"/>
    <n v="485"/>
    <n v="18328"/>
    <n v="18101"/>
    <n v="10"/>
    <x v="0"/>
  </r>
  <r>
    <s v="P165"/>
    <s v="Twitter"/>
    <d v="2024-12-11T00:00:00"/>
    <s v="Text"/>
    <s v="Check out our latest text on twitter!"/>
    <n v="3239"/>
    <n v="43"/>
    <n v="211"/>
    <n v="22673"/>
    <n v="22171"/>
    <n v="230"/>
    <x v="1"/>
  </r>
  <r>
    <s v="P164"/>
    <s v="YouTube"/>
    <d v="2025-02-27T00:00:00"/>
    <s v="Text"/>
    <s v="Check out our latest text on youtube!"/>
    <n v="4934"/>
    <n v="971"/>
    <n v="156"/>
    <n v="39472"/>
    <n v="39025"/>
    <n v="169"/>
    <x v="1"/>
  </r>
  <r>
    <s v="P262"/>
    <s v="YouTube"/>
    <d v="2025-01-18T00:00:00"/>
    <s v="Image"/>
    <s v="Check out our latest image on youtube!"/>
    <n v="1206"/>
    <n v="238"/>
    <n v="36"/>
    <n v="9648"/>
    <n v="9417"/>
    <n v="237"/>
    <x v="1"/>
  </r>
  <r>
    <s v="P147"/>
    <s v="Instagram"/>
    <d v="2024-10-21T00:00:00"/>
    <s v="Reel"/>
    <s v="Check out our latest reel on instagram!"/>
    <n v="3256"/>
    <n v="459"/>
    <n v="266"/>
    <n v="26048"/>
    <n v="25529"/>
    <n v="143"/>
    <x v="1"/>
  </r>
  <r>
    <s v="P004"/>
    <s v="Instagram"/>
    <d v="2024-08-12T00:00:00"/>
    <s v="Story"/>
    <s v="Check out our latest story on instagram!"/>
    <n v="2404"/>
    <n v="363"/>
    <n v="138"/>
    <n v="19232"/>
    <n v="18636"/>
    <n v="128"/>
    <x v="0"/>
  </r>
  <r>
    <s v="P014"/>
    <s v="Facebook"/>
    <d v="2025-02-16T00:00:00"/>
    <s v="Story"/>
    <s v="Check out our latest story on facebook!"/>
    <n v="4242"/>
    <n v="555"/>
    <n v="131"/>
    <n v="33936"/>
    <n v="33802"/>
    <n v="265"/>
    <x v="2"/>
  </r>
  <r>
    <s v="P192"/>
    <s v="Instagram"/>
    <d v="2024-11-29T00:00:00"/>
    <s v="Video"/>
    <s v="Check out our latest video on instagram!"/>
    <n v="1176"/>
    <n v="464"/>
    <n v="394"/>
    <n v="14112"/>
    <n v="13588"/>
    <n v="272"/>
    <x v="0"/>
  </r>
  <r>
    <s v="P173"/>
    <s v="Twitter"/>
    <d v="2024-12-05T00:00:00"/>
    <s v="Video"/>
    <s v="Check out our latest video on twitter!"/>
    <n v="1330"/>
    <n v="925"/>
    <n v="35"/>
    <n v="15960"/>
    <n v="15379"/>
    <n v="229"/>
    <x v="2"/>
  </r>
  <r>
    <s v="P166"/>
    <s v="Twitter"/>
    <d v="2025-02-16T00:00:00"/>
    <s v="Reel"/>
    <s v="Check out our latest reel on twitter!"/>
    <n v="1076"/>
    <n v="313"/>
    <n v="306"/>
    <n v="11836"/>
    <n v="11596"/>
    <n v="104"/>
    <x v="2"/>
  </r>
  <r>
    <s v="P207"/>
    <s v="Twitter"/>
    <d v="2024-12-29T00:00:00"/>
    <s v="Carousel"/>
    <s v="Check out our latest carousel on twitter!"/>
    <n v="4274"/>
    <n v="340"/>
    <n v="281"/>
    <n v="34192"/>
    <n v="33446"/>
    <n v="129"/>
    <x v="1"/>
  </r>
  <r>
    <s v="P061"/>
    <s v="Twitter"/>
    <d v="2024-09-05T00:00:00"/>
    <s v="Video"/>
    <s v="Check out our latest video on twitter!"/>
    <n v="4886"/>
    <n v="983"/>
    <n v="409"/>
    <n v="43974"/>
    <n v="43239"/>
    <n v="65"/>
    <x v="1"/>
  </r>
  <r>
    <s v="P125"/>
    <s v="Twitter"/>
    <d v="2024-09-08T00:00:00"/>
    <s v="Carousel"/>
    <s v="Check out our latest carousel on twitter!"/>
    <n v="3811"/>
    <n v="866"/>
    <n v="216"/>
    <n v="34299"/>
    <n v="34088"/>
    <n v="233"/>
    <x v="1"/>
  </r>
  <r>
    <s v="P272"/>
    <s v="Instagram"/>
    <d v="2025-03-27T00:00:00"/>
    <s v="Text"/>
    <s v="Check out our latest text on instagram!"/>
    <n v="4941"/>
    <n v="414"/>
    <n v="266"/>
    <n v="39528"/>
    <n v="39154"/>
    <n v="217"/>
    <x v="1"/>
  </r>
  <r>
    <s v="P040"/>
    <s v="Twitter"/>
    <d v="2025-03-07T00:00:00"/>
    <s v="Image"/>
    <s v="Check out our latest image on twitter!"/>
    <n v="4750"/>
    <n v="151"/>
    <n v="415"/>
    <n v="38000"/>
    <n v="37792"/>
    <n v="299"/>
    <x v="0"/>
  </r>
  <r>
    <s v="P299"/>
    <s v="Facebook"/>
    <d v="2024-08-26T00:00:00"/>
    <s v="Image"/>
    <s v="Check out our latest image on facebook!"/>
    <n v="2581"/>
    <n v="517"/>
    <n v="117"/>
    <n v="23229"/>
    <n v="22331"/>
    <n v="70"/>
    <x v="2"/>
  </r>
  <r>
    <s v="P174"/>
    <s v="Facebook"/>
    <d v="2024-06-22T00:00:00"/>
    <s v="Text"/>
    <s v="Check out our latest text on facebook!"/>
    <n v="3828"/>
    <n v="148"/>
    <n v="253"/>
    <n v="30624"/>
    <n v="30229"/>
    <n v="235"/>
    <x v="0"/>
  </r>
  <r>
    <s v="P104"/>
    <s v="YouTube"/>
    <d v="2025-03-23T00:00:00"/>
    <s v="Story"/>
    <s v="Check out our latest story on youtube!"/>
    <n v="3655"/>
    <n v="568"/>
    <n v="286"/>
    <n v="32895"/>
    <n v="32015"/>
    <n v="199"/>
    <x v="1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2"/>
  </r>
  <r>
    <s v="P184"/>
    <s v="Twitter"/>
    <d v="2024-07-28T00:00:00"/>
    <s v="Image"/>
    <s v="Check out our latest image on twitter!"/>
    <n v="3215"/>
    <n v="960"/>
    <n v="202"/>
    <n v="32150"/>
    <n v="31404"/>
    <n v="251"/>
    <x v="0"/>
  </r>
  <r>
    <s v="P092"/>
    <s v="Twitter"/>
    <d v="2024-10-21T00:00:00"/>
    <s v="Story"/>
    <s v="Check out our latest story on twitter!"/>
    <n v="3801"/>
    <n v="967"/>
    <n v="401"/>
    <n v="38010"/>
    <n v="37625"/>
    <n v="236"/>
    <x v="2"/>
  </r>
  <r>
    <s v="P088"/>
    <s v="Facebook"/>
    <d v="2024-07-07T00:00:00"/>
    <s v="Story"/>
    <s v="Check out our latest story on facebook!"/>
    <n v="302"/>
    <n v="47"/>
    <n v="430"/>
    <n v="5738"/>
    <n v="4890"/>
    <n v="25"/>
    <x v="1"/>
  </r>
  <r>
    <s v="P285"/>
    <s v="YouTube"/>
    <d v="2024-07-18T00:00:00"/>
    <s v="Text"/>
    <s v="Check out our latest text on youtube!"/>
    <n v="4021"/>
    <n v="794"/>
    <n v="77"/>
    <n v="36189"/>
    <n v="35505"/>
    <n v="174"/>
    <x v="0"/>
  </r>
  <r>
    <s v="P050"/>
    <s v="YouTube"/>
    <d v="2024-07-03T00:00:00"/>
    <s v="Story"/>
    <s v="Check out our latest story on youtube!"/>
    <n v="2754"/>
    <n v="130"/>
    <n v="90"/>
    <n v="22032"/>
    <n v="21288"/>
    <n v="112"/>
    <x v="1"/>
  </r>
  <r>
    <s v="P132"/>
    <s v="Instagram"/>
    <d v="2025-03-04T00:00:00"/>
    <s v="Story"/>
    <s v="Check out our latest story on instagram!"/>
    <n v="1947"/>
    <n v="842"/>
    <n v="101"/>
    <n v="21417"/>
    <n v="20967"/>
    <n v="186"/>
    <x v="2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x v="1"/>
  </r>
  <r>
    <s v="P074"/>
    <s v="YouTube"/>
    <d v="2024-10-28T00:00:00"/>
    <s v="Reel"/>
    <s v="Check out our latest reel on youtube!"/>
    <n v="1855"/>
    <n v="200"/>
    <n v="174"/>
    <n v="16695"/>
    <n v="16330"/>
    <n v="123"/>
    <x v="1"/>
  </r>
  <r>
    <s v="P254"/>
    <s v="Twitter"/>
    <d v="2025-01-14T00:00:00"/>
    <s v="Image"/>
    <s v="Check out our latest image on twitter!"/>
    <n v="2692"/>
    <n v="115"/>
    <n v="64"/>
    <n v="21536"/>
    <n v="21120"/>
    <n v="224"/>
    <x v="2"/>
  </r>
  <r>
    <s v="P131"/>
    <s v="Instagram"/>
    <d v="2024-10-21T00:00:00"/>
    <s v="Reel"/>
    <s v="Check out our latest reel on instagram!"/>
    <n v="4840"/>
    <n v="658"/>
    <n v="211"/>
    <n v="43560"/>
    <n v="43225"/>
    <n v="57"/>
    <x v="2"/>
  </r>
  <r>
    <s v="P236"/>
    <s v="Facebook"/>
    <d v="2024-08-19T00:00:00"/>
    <s v="Text"/>
    <s v="Check out our latest text on facebook!"/>
    <n v="1257"/>
    <n v="19"/>
    <n v="351"/>
    <n v="12570"/>
    <n v="11660"/>
    <n v="194"/>
    <x v="2"/>
  </r>
  <r>
    <s v="P114"/>
    <s v="Twitter"/>
    <d v="2024-11-14T00:00:00"/>
    <s v="Story"/>
    <s v="Check out our latest story on twitter!"/>
    <n v="4000"/>
    <n v="689"/>
    <n v="488"/>
    <n v="40000"/>
    <n v="39569"/>
    <n v="44"/>
    <x v="2"/>
  </r>
  <r>
    <s v="P056"/>
    <s v="Facebook"/>
    <d v="2024-12-18T00:00:00"/>
    <s v="Carousel"/>
    <s v="Check out our latest carousel on facebook!"/>
    <n v="2946"/>
    <n v="498"/>
    <n v="367"/>
    <n v="29460"/>
    <n v="28527"/>
    <n v="60"/>
    <x v="2"/>
  </r>
  <r>
    <s v="P105"/>
    <s v="Instagram"/>
    <d v="2024-06-14T00:00:00"/>
    <s v="Carousel"/>
    <s v="Check out our latest carousel on instagram!"/>
    <n v="498"/>
    <n v="38"/>
    <n v="42"/>
    <n v="4482"/>
    <n v="3647"/>
    <n v="32"/>
    <x v="2"/>
  </r>
  <r>
    <s v="P012"/>
    <s v="Facebook"/>
    <d v="2024-07-21T00:00:00"/>
    <s v="Reel"/>
    <s v="Check out our latest reel on facebook!"/>
    <n v="1946"/>
    <n v="686"/>
    <n v="377"/>
    <n v="23352"/>
    <n v="22982"/>
    <n v="213"/>
    <x v="2"/>
  </r>
  <r>
    <s v="P235"/>
    <s v="Facebook"/>
    <d v="2024-12-22T00:00:00"/>
    <s v="Image"/>
    <s v="Check out our latest image on facebook!"/>
    <n v="3196"/>
    <n v="941"/>
    <n v="376"/>
    <n v="35156"/>
    <n v="34444"/>
    <n v="241"/>
    <x v="1"/>
  </r>
  <r>
    <s v="P033"/>
    <s v="Facebook"/>
    <d v="2024-08-21T00:00:00"/>
    <s v="Image"/>
    <s v="Check out our latest image on facebook!"/>
    <n v="1407"/>
    <n v="400"/>
    <n v="351"/>
    <n v="16884"/>
    <n v="15954"/>
    <n v="113"/>
    <x v="1"/>
  </r>
  <r>
    <s v="P038"/>
    <s v="YouTube"/>
    <d v="2025-02-17T00:00:00"/>
    <s v="Reel"/>
    <s v="Check out our latest reel on youtube!"/>
    <n v="3138"/>
    <n v="123"/>
    <n v="291"/>
    <n v="28242"/>
    <n v="27550"/>
    <n v="87"/>
    <x v="1"/>
  </r>
  <r>
    <s v="P196"/>
    <s v="Instagram"/>
    <d v="2024-12-19T00:00:00"/>
    <s v="Text"/>
    <s v="Check out our latest text on instagram!"/>
    <n v="1813"/>
    <n v="623"/>
    <n v="72"/>
    <n v="19943"/>
    <n v="18959"/>
    <n v="85"/>
    <x v="0"/>
  </r>
  <r>
    <s v="P128"/>
    <s v="Twitter"/>
    <d v="2025-01-10T00:00:00"/>
    <s v="Image"/>
    <s v="Check out our latest image on twitter!"/>
    <n v="3092"/>
    <n v="106"/>
    <n v="291"/>
    <n v="27828"/>
    <n v="27217"/>
    <n v="102"/>
    <x v="2"/>
  </r>
  <r>
    <s v="P169"/>
    <s v="YouTube"/>
    <d v="2024-12-03T00:00:00"/>
    <s v="Video"/>
    <s v="Check out our latest video on youtube!"/>
    <n v="3809"/>
    <n v="273"/>
    <n v="200"/>
    <n v="34281"/>
    <n v="33534"/>
    <n v="83"/>
    <x v="0"/>
  </r>
  <r>
    <s v="P293"/>
    <s v="Facebook"/>
    <d v="2025-05-14T00:00:00"/>
    <s v="Text"/>
    <s v="Check out our latest text on facebook!"/>
    <n v="2634"/>
    <n v="726"/>
    <n v="241"/>
    <n v="28974"/>
    <n v="28102"/>
    <n v="277"/>
    <x v="0"/>
  </r>
  <r>
    <s v="P292"/>
    <s v="Facebook"/>
    <d v="2024-11-17T00:00:00"/>
    <s v="Text"/>
    <s v="Check out our latest text on facebook!"/>
    <n v="880"/>
    <n v="297"/>
    <n v="345"/>
    <n v="12320"/>
    <n v="11978"/>
    <n v="238"/>
    <x v="1"/>
  </r>
  <r>
    <s v="P212"/>
    <s v="YouTube"/>
    <d v="2025-03-03T00:00:00"/>
    <s v="Video"/>
    <s v="Check out our latest video on youtube!"/>
    <n v="3874"/>
    <n v="884"/>
    <n v="19"/>
    <n v="38740"/>
    <n v="38552"/>
    <n v="219"/>
    <x v="1"/>
  </r>
  <r>
    <s v="P110"/>
    <s v="Instagram"/>
    <d v="2024-07-29T00:00:00"/>
    <s v="Reel"/>
    <s v="Check out our latest reel on instagram!"/>
    <n v="3523"/>
    <n v="753"/>
    <n v="482"/>
    <n v="38753"/>
    <n v="38579"/>
    <n v="270"/>
    <x v="0"/>
  </r>
  <r>
    <s v="P245"/>
    <s v="Facebook"/>
    <d v="2025-01-12T00:00:00"/>
    <s v="Reel"/>
    <s v="Check out our latest reel on facebook!"/>
    <n v="4134"/>
    <n v="824"/>
    <n v="99"/>
    <n v="41340"/>
    <n v="41050"/>
    <n v="177"/>
    <x v="0"/>
  </r>
  <r>
    <s v="P075"/>
    <s v="Instagram"/>
    <d v="2024-08-01T00:00:00"/>
    <s v="Reel"/>
    <s v="Check out our latest reel on instagram!"/>
    <n v="1674"/>
    <n v="929"/>
    <n v="37"/>
    <n v="21762"/>
    <n v="20998"/>
    <n v="255"/>
    <x v="1"/>
  </r>
  <r>
    <s v="P255"/>
    <s v="Facebook"/>
    <d v="2025-04-03T00:00:00"/>
    <s v="Story"/>
    <s v="Check out our latest story on facebook!"/>
    <n v="3767"/>
    <n v="514"/>
    <n v="238"/>
    <n v="37670"/>
    <n v="36807"/>
    <n v="226"/>
    <x v="2"/>
  </r>
  <r>
    <s v="P071"/>
    <s v="YouTube"/>
    <d v="2024-09-02T00:00:00"/>
    <s v="Carousel"/>
    <s v="Check out our latest carousel on youtube!"/>
    <n v="2551"/>
    <n v="915"/>
    <n v="205"/>
    <n v="30612"/>
    <n v="30360"/>
    <n v="227"/>
    <x v="1"/>
  </r>
  <r>
    <s v="P065"/>
    <s v="Instagram"/>
    <d v="2025-03-28T00:00:00"/>
    <s v="Story"/>
    <s v="Check out our latest story on instagram!"/>
    <n v="1881"/>
    <n v="501"/>
    <n v="99"/>
    <n v="20691"/>
    <n v="19987"/>
    <n v="289"/>
    <x v="0"/>
  </r>
  <r>
    <s v="P247"/>
    <s v="Facebook"/>
    <d v="2024-08-27T00:00:00"/>
    <s v="Reel"/>
    <s v="Check out our latest reel on facebook!"/>
    <n v="3960"/>
    <n v="266"/>
    <n v="8"/>
    <n v="35640"/>
    <n v="34850"/>
    <n v="208"/>
    <x v="2"/>
  </r>
  <r>
    <s v="P035"/>
    <s v="Instagram"/>
    <d v="2024-11-30T00:00:00"/>
    <s v="Video"/>
    <s v="Check out our latest video on instagram!"/>
    <n v="3775"/>
    <n v="16"/>
    <n v="239"/>
    <n v="33975"/>
    <n v="33310"/>
    <n v="271"/>
    <x v="2"/>
  </r>
  <r>
    <s v="P117"/>
    <s v="Twitter"/>
    <d v="2024-11-04T00:00:00"/>
    <s v="Image"/>
    <s v="Check out our latest image on twitter!"/>
    <n v="1606"/>
    <n v="451"/>
    <n v="405"/>
    <n v="20878"/>
    <n v="20190"/>
    <n v="219"/>
    <x v="0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x v="2"/>
  </r>
  <r>
    <s v="P011"/>
    <s v="Instagram"/>
    <d v="2025-02-02T00:00:00"/>
    <s v="Story"/>
    <s v="Check out our latest story on instagram!"/>
    <n v="1792"/>
    <n v="614"/>
    <n v="497"/>
    <n v="25088"/>
    <n v="24675"/>
    <n v="65"/>
    <x v="2"/>
  </r>
  <r>
    <s v="P161"/>
    <s v="Twitter"/>
    <d v="2025-02-19T00:00:00"/>
    <s v="Text"/>
    <s v="Check out our latest text on twitter!"/>
    <n v="4671"/>
    <n v="876"/>
    <n v="366"/>
    <n v="51381"/>
    <n v="50565"/>
    <n v="245"/>
    <x v="1"/>
  </r>
  <r>
    <s v="P155"/>
    <s v="YouTube"/>
    <d v="2024-12-21T00:00:00"/>
    <s v="Image"/>
    <s v="Check out our latest image on youtube!"/>
    <n v="2283"/>
    <n v="210"/>
    <n v="130"/>
    <n v="22830"/>
    <n v="22617"/>
    <n v="143"/>
    <x v="2"/>
  </r>
  <r>
    <s v="P284"/>
    <s v="Twitter"/>
    <d v="2024-09-17T00:00:00"/>
    <s v="Text"/>
    <s v="Check out our latest text on twitter!"/>
    <n v="571"/>
    <n v="190"/>
    <n v="352"/>
    <n v="9707"/>
    <n v="9418"/>
    <n v="231"/>
    <x v="1"/>
  </r>
  <r>
    <s v="P113"/>
    <s v="Twitter"/>
    <d v="2024-10-02T00:00:00"/>
    <s v="Carousel"/>
    <s v="Check out our latest carousel on twitter!"/>
    <n v="4419"/>
    <n v="236"/>
    <n v="369"/>
    <n v="44190"/>
    <n v="43582"/>
    <n v="10"/>
    <x v="0"/>
  </r>
  <r>
    <s v="P158"/>
    <s v="Instagram"/>
    <d v="2024-08-11T00:00:00"/>
    <s v="Story"/>
    <s v="Check out our latest story on instagram!"/>
    <n v="1762"/>
    <n v="405"/>
    <n v="423"/>
    <n v="22906"/>
    <n v="21925"/>
    <n v="25"/>
    <x v="1"/>
  </r>
  <r>
    <s v="P098"/>
    <s v="Twitter"/>
    <d v="2024-06-10T00:00:00"/>
    <s v="Story"/>
    <s v="Check out our latest story on twitter!"/>
    <n v="1575"/>
    <n v="771"/>
    <n v="486"/>
    <n v="25200"/>
    <n v="24826"/>
    <n v="17"/>
    <x v="2"/>
  </r>
  <r>
    <s v="P227"/>
    <s v="Instagram"/>
    <d v="2024-06-12T00:00:00"/>
    <s v="Text"/>
    <s v="Check out our latest text on instagram!"/>
    <n v="246"/>
    <n v="149"/>
    <n v="130"/>
    <n v="4674"/>
    <n v="4390"/>
    <n v="217"/>
    <x v="2"/>
  </r>
  <r>
    <s v="P222"/>
    <s v="Facebook"/>
    <d v="2024-10-08T00:00:00"/>
    <s v="Reel"/>
    <s v="Check out our latest reel on facebook!"/>
    <n v="1814"/>
    <n v="653"/>
    <n v="363"/>
    <n v="25396"/>
    <n v="25286"/>
    <n v="39"/>
    <x v="2"/>
  </r>
  <r>
    <s v="P278"/>
    <s v="Twitter"/>
    <d v="2024-11-26T00:00:00"/>
    <s v="Text"/>
    <s v="Check out our latest text on twitter!"/>
    <n v="4516"/>
    <n v="836"/>
    <n v="169"/>
    <n v="49676"/>
    <n v="49257"/>
    <n v="282"/>
    <x v="0"/>
  </r>
  <r>
    <s v="P151"/>
    <s v="Instagram"/>
    <d v="2024-07-26T00:00:00"/>
    <s v="Image"/>
    <s v="Check out our latest image on instagram!"/>
    <n v="3559"/>
    <n v="59"/>
    <n v="289"/>
    <n v="35590"/>
    <n v="35105"/>
    <n v="122"/>
    <x v="0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x v="2"/>
  </r>
  <r>
    <s v="P157"/>
    <s v="YouTube"/>
    <d v="2024-07-23T00:00:00"/>
    <s v="Story"/>
    <s v="Check out our latest story on youtube!"/>
    <n v="4775"/>
    <n v="173"/>
    <n v="206"/>
    <n v="47750"/>
    <n v="47544"/>
    <n v="187"/>
    <x v="2"/>
  </r>
  <r>
    <s v="P206"/>
    <s v="Twitter"/>
    <d v="2024-06-24T00:00:00"/>
    <s v="Text"/>
    <s v="Check out our latest text on twitter!"/>
    <n v="941"/>
    <n v="121"/>
    <n v="458"/>
    <n v="14115"/>
    <n v="13838"/>
    <n v="87"/>
    <x v="0"/>
  </r>
  <r>
    <s v="P282"/>
    <s v="Instagram"/>
    <d v="2024-10-03T00:00:00"/>
    <s v="Video"/>
    <s v="Check out our latest video on instagram!"/>
    <n v="1488"/>
    <n v="417"/>
    <n v="168"/>
    <n v="19344"/>
    <n v="18395"/>
    <n v="30"/>
    <x v="2"/>
  </r>
  <r>
    <s v="P049"/>
    <s v="Twitter"/>
    <d v="2024-06-10T00:00:00"/>
    <s v="Story"/>
    <s v="Check out our latest story on twitter!"/>
    <n v="2164"/>
    <n v="549"/>
    <n v="274"/>
    <n v="28132"/>
    <n v="27361"/>
    <n v="177"/>
    <x v="1"/>
  </r>
  <r>
    <s v="P205"/>
    <s v="Twitter"/>
    <d v="2025-04-24T00:00:00"/>
    <s v="Video"/>
    <s v="Check out our latest video on twitter!"/>
    <n v="3820"/>
    <n v="697"/>
    <n v="268"/>
    <n v="45840"/>
    <n v="45631"/>
    <n v="171"/>
    <x v="1"/>
  </r>
  <r>
    <s v="P008"/>
    <s v="YouTube"/>
    <d v="2024-07-13T00:00:00"/>
    <s v="Image"/>
    <s v="Check out our latest image on youtube!"/>
    <n v="3929"/>
    <n v="262"/>
    <n v="278"/>
    <n v="43219"/>
    <n v="42841"/>
    <n v="39"/>
    <x v="0"/>
  </r>
  <r>
    <s v="P096"/>
    <s v="Twitter"/>
    <d v="2024-09-10T00:00:00"/>
    <s v="Image"/>
    <s v="Check out our latest image on twitter!"/>
    <n v="1238"/>
    <n v="366"/>
    <n v="444"/>
    <n v="19808"/>
    <n v="19334"/>
    <n v="123"/>
    <x v="2"/>
  </r>
  <r>
    <s v="P018"/>
    <s v="Instagram"/>
    <d v="2024-08-19T00:00:00"/>
    <s v="Reel"/>
    <s v="Check out our latest reel on instagram!"/>
    <n v="3000"/>
    <n v="382"/>
    <n v="325"/>
    <n v="36000"/>
    <n v="35819"/>
    <n v="19"/>
    <x v="2"/>
  </r>
  <r>
    <s v="P182"/>
    <s v="Facebook"/>
    <d v="2024-07-31T00:00:00"/>
    <s v="Image"/>
    <s v="Check out our latest image on facebook!"/>
    <n v="4689"/>
    <n v="134"/>
    <n v="403"/>
    <n v="51579"/>
    <n v="50924"/>
    <n v="173"/>
    <x v="1"/>
  </r>
  <r>
    <s v="P266"/>
    <s v="Facebook"/>
    <d v="2024-11-25T00:00:00"/>
    <s v="Story"/>
    <s v="Check out our latest story on facebook!"/>
    <n v="4182"/>
    <n v="640"/>
    <n v="240"/>
    <n v="50184"/>
    <n v="49351"/>
    <n v="10"/>
    <x v="1"/>
  </r>
  <r>
    <s v="P019"/>
    <s v="Instagram"/>
    <d v="2024-06-23T00:00:00"/>
    <s v="Video"/>
    <s v="Check out our latest video on instagram!"/>
    <n v="1071"/>
    <n v="519"/>
    <n v="22"/>
    <n v="16065"/>
    <n v="15865"/>
    <n v="103"/>
    <x v="1"/>
  </r>
  <r>
    <s v="P108"/>
    <s v="Twitter"/>
    <d v="2025-03-25T00:00:00"/>
    <s v="Video"/>
    <s v="Check out our latest video on twitter!"/>
    <n v="4050"/>
    <n v="871"/>
    <n v="347"/>
    <n v="52650"/>
    <n v="51755"/>
    <n v="209"/>
    <x v="1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x v="2"/>
  </r>
  <r>
    <s v="P103"/>
    <s v="Facebook"/>
    <d v="2024-06-11T00:00:00"/>
    <s v="Image"/>
    <s v="Check out our latest image on facebook!"/>
    <n v="3689"/>
    <n v="48"/>
    <n v="306"/>
    <n v="40579"/>
    <n v="39588"/>
    <n v="212"/>
    <x v="0"/>
  </r>
  <r>
    <s v="P191"/>
    <s v="YouTube"/>
    <d v="2024-12-03T00:00:00"/>
    <s v="Story"/>
    <s v="Check out our latest story on youtube!"/>
    <n v="4285"/>
    <n v="886"/>
    <n v="376"/>
    <n v="55705"/>
    <n v="55556"/>
    <n v="51"/>
    <x v="2"/>
  </r>
  <r>
    <s v="P193"/>
    <s v="Twitter"/>
    <d v="2024-09-11T00:00:00"/>
    <s v="Image"/>
    <s v="Check out our latest image on twitter!"/>
    <n v="4858"/>
    <n v="317"/>
    <n v="129"/>
    <n v="53438"/>
    <n v="52687"/>
    <n v="223"/>
    <x v="0"/>
  </r>
  <r>
    <s v="P167"/>
    <s v="Instagram"/>
    <d v="2024-11-28T00:00:00"/>
    <s v="Text"/>
    <s v="Check out our latest text on instagram!"/>
    <n v="4771"/>
    <n v="818"/>
    <n v="56"/>
    <n v="57252"/>
    <n v="56378"/>
    <n v="150"/>
    <x v="2"/>
  </r>
  <r>
    <s v="P044"/>
    <s v="Twitter"/>
    <d v="2025-03-02T00:00:00"/>
    <s v="Image"/>
    <s v="Check out our latest image on twitter!"/>
    <n v="2358"/>
    <n v="784"/>
    <n v="344"/>
    <n v="35370"/>
    <n v="34475"/>
    <n v="216"/>
    <x v="1"/>
  </r>
  <r>
    <s v="P171"/>
    <s v="YouTube"/>
    <d v="2024-12-31T00:00:00"/>
    <s v="Video"/>
    <s v="Check out our latest video on youtube!"/>
    <n v="1018"/>
    <n v="447"/>
    <n v="332"/>
    <n v="18324"/>
    <n v="18164"/>
    <n v="38"/>
    <x v="2"/>
  </r>
  <r>
    <s v="P273"/>
    <s v="YouTube"/>
    <d v="2024-10-12T00:00:00"/>
    <s v="Story"/>
    <s v="Check out our latest story on youtube!"/>
    <n v="3641"/>
    <n v="226"/>
    <n v="46"/>
    <n v="40051"/>
    <n v="39319"/>
    <n v="296"/>
    <x v="0"/>
  </r>
  <r>
    <s v="P243"/>
    <s v="Twitter"/>
    <d v="2025-03-06T00:00:00"/>
    <s v="Image"/>
    <s v="Check out our latest image on twitter!"/>
    <n v="3592"/>
    <n v="911"/>
    <n v="375"/>
    <n v="50288"/>
    <n v="49490"/>
    <n v="32"/>
    <x v="2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x v="0"/>
  </r>
  <r>
    <s v="P081"/>
    <s v="Instagram"/>
    <d v="2024-10-19T00:00:00"/>
    <s v="Story"/>
    <s v="Check out our latest story on instagram!"/>
    <n v="1816"/>
    <n v="29"/>
    <n v="41"/>
    <n v="19976"/>
    <n v="19262"/>
    <n v="283"/>
    <x v="1"/>
  </r>
  <r>
    <s v="P017"/>
    <s v="Facebook"/>
    <d v="2025-05-05T00:00:00"/>
    <s v="Text"/>
    <s v="Check out our latest text on facebook!"/>
    <n v="4441"/>
    <n v="511"/>
    <n v="70"/>
    <n v="53292"/>
    <n v="53082"/>
    <n v="159"/>
    <x v="0"/>
  </r>
  <r>
    <s v="P139"/>
    <s v="YouTube"/>
    <d v="2024-10-29T00:00:00"/>
    <s v="Text"/>
    <s v="Check out our latest text on youtube!"/>
    <n v="2746"/>
    <n v="156"/>
    <n v="203"/>
    <n v="32952"/>
    <n v="32147"/>
    <n v="147"/>
    <x v="0"/>
  </r>
  <r>
    <s v="P069"/>
    <s v="Twitter"/>
    <d v="2025-03-08T00:00:00"/>
    <s v="Text"/>
    <s v="Check out our latest text on twitter!"/>
    <n v="1292"/>
    <n v="626"/>
    <n v="496"/>
    <n v="25840"/>
    <n v="24916"/>
    <n v="149"/>
    <x v="2"/>
  </r>
  <r>
    <s v="P059"/>
    <s v="Instagram"/>
    <d v="2024-06-22T00:00:00"/>
    <s v="Text"/>
    <s v="Check out our latest text on instagram!"/>
    <n v="2180"/>
    <n v="263"/>
    <n v="387"/>
    <n v="30520"/>
    <n v="30059"/>
    <n v="174"/>
    <x v="0"/>
  </r>
  <r>
    <s v="P100"/>
    <s v="YouTube"/>
    <d v="2025-02-10T00:00:00"/>
    <s v="Video"/>
    <s v="Check out our latest video on youtube!"/>
    <n v="1766"/>
    <n v="92"/>
    <n v="424"/>
    <n v="24724"/>
    <n v="24333"/>
    <n v="52"/>
    <x v="0"/>
  </r>
  <r>
    <s v="P055"/>
    <s v="Facebook"/>
    <d v="2024-06-17T00:00:00"/>
    <s v="Image"/>
    <s v="Check out our latest image on facebook!"/>
    <n v="1226"/>
    <n v="119"/>
    <n v="7"/>
    <n v="14712"/>
    <n v="14049"/>
    <n v="123"/>
    <x v="0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x v="1"/>
  </r>
  <r>
    <s v="P160"/>
    <s v="Twitter"/>
    <d v="2024-08-24T00:00:00"/>
    <s v="Video"/>
    <s v="Check out our latest video on twitter!"/>
    <n v="1082"/>
    <n v="209"/>
    <n v="484"/>
    <n v="19476"/>
    <n v="18654"/>
    <n v="20"/>
    <x v="1"/>
  </r>
  <r>
    <s v="P001"/>
    <s v="Twitter"/>
    <d v="2024-12-23T00:00:00"/>
    <s v="Reel"/>
    <s v="Check out our latest reel on twitter!"/>
    <n v="1461"/>
    <n v="184"/>
    <n v="344"/>
    <n v="21915"/>
    <n v="21675"/>
    <n v="15"/>
    <x v="2"/>
  </r>
  <r>
    <s v="P201"/>
    <s v="Twitter"/>
    <d v="2025-01-15T00:00:00"/>
    <s v="Reel"/>
    <s v="Check out our latest reel on twitter!"/>
    <n v="802"/>
    <n v="262"/>
    <n v="244"/>
    <n v="14436"/>
    <n v="14280"/>
    <n v="49"/>
    <x v="0"/>
  </r>
  <r>
    <s v="P180"/>
    <s v="YouTube"/>
    <d v="2024-12-03T00:00:00"/>
    <s v="Text"/>
    <s v="Check out our latest text on youtube!"/>
    <n v="3711"/>
    <n v="352"/>
    <n v="290"/>
    <n v="48243"/>
    <n v="47579"/>
    <n v="11"/>
    <x v="1"/>
  </r>
  <r>
    <s v="P026"/>
    <s v="YouTube"/>
    <d v="2025-04-05T00:00:00"/>
    <s v="Reel"/>
    <s v="Check out our latest reel on youtube!"/>
    <n v="3009"/>
    <n v="413"/>
    <n v="358"/>
    <n v="42126"/>
    <n v="41309"/>
    <n v="211"/>
    <x v="2"/>
  </r>
  <r>
    <s v="P130"/>
    <s v="YouTube"/>
    <d v="2024-09-29T00:00:00"/>
    <s v="Reel"/>
    <s v="Check out our latest reel on youtube!"/>
    <n v="2936"/>
    <n v="439"/>
    <n v="44"/>
    <n v="38168"/>
    <n v="37571"/>
    <n v="22"/>
    <x v="0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x v="0"/>
  </r>
  <r>
    <s v="P072"/>
    <s v="YouTube"/>
    <d v="2025-03-03T00:00:00"/>
    <s v="Reel"/>
    <s v="Check out our latest reel on youtube!"/>
    <n v="296"/>
    <n v="60"/>
    <n v="141"/>
    <n v="5624"/>
    <n v="5239"/>
    <n v="88"/>
    <x v="0"/>
  </r>
  <r>
    <s v="P009"/>
    <s v="Facebook"/>
    <d v="2024-08-30T00:00:00"/>
    <s v="Text"/>
    <s v="Check out our latest text on facebook!"/>
    <n v="3784"/>
    <n v="808"/>
    <n v="404"/>
    <n v="56760"/>
    <n v="56343"/>
    <n v="131"/>
    <x v="1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1"/>
  </r>
  <r>
    <s v="P249"/>
    <s v="Twitter"/>
    <d v="2024-07-18T00:00:00"/>
    <s v="Image"/>
    <s v="Check out our latest image on twitter!"/>
    <n v="827"/>
    <n v="77"/>
    <n v="402"/>
    <n v="14886"/>
    <n v="14129"/>
    <n v="254"/>
    <x v="0"/>
  </r>
  <r>
    <s v="P097"/>
    <s v="Instagram"/>
    <d v="2024-08-13T00:00:00"/>
    <s v="Image"/>
    <s v="Check out our latest image on instagram!"/>
    <n v="4739"/>
    <n v="527"/>
    <n v="135"/>
    <n v="61607"/>
    <n v="61333"/>
    <n v="36"/>
    <x v="1"/>
  </r>
  <r>
    <s v="P253"/>
    <s v="Twitter"/>
    <d v="2024-08-03T00:00:00"/>
    <s v="Reel"/>
    <s v="Check out our latest reel on twitter!"/>
    <n v="3791"/>
    <n v="593"/>
    <n v="228"/>
    <n v="53074"/>
    <n v="52613"/>
    <n v="205"/>
    <x v="0"/>
  </r>
  <r>
    <s v="P084"/>
    <s v="Facebook"/>
    <d v="2024-12-09T00:00:00"/>
    <s v="Image"/>
    <s v="Check out our latest image on facebook!"/>
    <n v="1841"/>
    <n v="851"/>
    <n v="342"/>
    <n v="34979"/>
    <n v="34154"/>
    <n v="255"/>
    <x v="2"/>
  </r>
  <r>
    <s v="P162"/>
    <s v="Facebook"/>
    <d v="2025-04-01T00:00:00"/>
    <s v="Story"/>
    <s v="Check out our latest story on facebook!"/>
    <n v="3430"/>
    <n v="566"/>
    <n v="164"/>
    <n v="48020"/>
    <n v="47305"/>
    <n v="120"/>
    <x v="2"/>
  </r>
  <r>
    <s v="P208"/>
    <s v="YouTube"/>
    <d v="2024-06-24T00:00:00"/>
    <s v="Video"/>
    <s v="Check out our latest video on youtube!"/>
    <n v="2949"/>
    <n v="476"/>
    <n v="403"/>
    <n v="44235"/>
    <n v="43705"/>
    <n v="135"/>
    <x v="1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0"/>
  </r>
  <r>
    <s v="P231"/>
    <s v="Instagram"/>
    <d v="2025-05-01T00:00:00"/>
    <s v="Text"/>
    <s v="Check out our latest text on instagram!"/>
    <n v="1430"/>
    <n v="376"/>
    <n v="33"/>
    <n v="21450"/>
    <n v="20509"/>
    <n v="251"/>
    <x v="2"/>
  </r>
  <r>
    <s v="P106"/>
    <s v="Instagram"/>
    <d v="2025-02-04T00:00:00"/>
    <s v="Image"/>
    <s v="Check out our latest image on instagram!"/>
    <n v="4619"/>
    <n v="821"/>
    <n v="499"/>
    <n v="69285"/>
    <n v="69141"/>
    <n v="298"/>
    <x v="1"/>
  </r>
  <r>
    <s v="P082"/>
    <s v="Instagram"/>
    <d v="2024-07-24T00:00:00"/>
    <s v="Image"/>
    <s v="Check out our latest image on instagram!"/>
    <n v="725"/>
    <n v="88"/>
    <n v="428"/>
    <n v="14500"/>
    <n v="13637"/>
    <n v="200"/>
    <x v="2"/>
  </r>
  <r>
    <s v="P199"/>
    <s v="YouTube"/>
    <d v="2024-11-30T00:00:00"/>
    <s v="Carousel"/>
    <s v="Check out our latest carousel on youtube!"/>
    <n v="2509"/>
    <n v="324"/>
    <n v="171"/>
    <n v="35126"/>
    <n v="34685"/>
    <n v="277"/>
    <x v="1"/>
  </r>
  <r>
    <s v="P188"/>
    <s v="YouTube"/>
    <d v="2024-06-06T00:00:00"/>
    <s v="Reel"/>
    <s v="Check out our latest reel on youtube!"/>
    <n v="2728"/>
    <n v="533"/>
    <n v="215"/>
    <n v="40920"/>
    <n v="40816"/>
    <n v="137"/>
    <x v="2"/>
  </r>
  <r>
    <s v="P186"/>
    <s v="Facebook"/>
    <d v="2024-08-24T00:00:00"/>
    <s v="Carousel"/>
    <s v="Check out our latest carousel on facebook!"/>
    <n v="4292"/>
    <n v="51"/>
    <n v="392"/>
    <n v="55796"/>
    <n v="54826"/>
    <n v="264"/>
    <x v="0"/>
  </r>
  <r>
    <s v="P194"/>
    <s v="YouTube"/>
    <d v="2024-10-02T00:00:00"/>
    <s v="Story"/>
    <s v="Check out our latest story on youtube!"/>
    <n v="4350"/>
    <n v="771"/>
    <n v="7"/>
    <n v="60900"/>
    <n v="60592"/>
    <n v="195"/>
    <x v="0"/>
  </r>
  <r>
    <s v="P268"/>
    <s v="Instagram"/>
    <d v="2025-04-13T00:00:00"/>
    <s v="Reel"/>
    <s v="Check out our latest reel on instagram!"/>
    <n v="4579"/>
    <n v="125"/>
    <n v="300"/>
    <n v="59527"/>
    <n v="59400"/>
    <n v="269"/>
    <x v="0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x v="0"/>
  </r>
  <r>
    <s v="P187"/>
    <s v="Twitter"/>
    <d v="2024-12-22T00:00:00"/>
    <s v="Reel"/>
    <s v="Check out our latest reel on twitter!"/>
    <n v="1644"/>
    <n v="546"/>
    <n v="150"/>
    <n v="27948"/>
    <n v="27184"/>
    <n v="300"/>
    <x v="0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1"/>
  </r>
  <r>
    <s v="P280"/>
    <s v="YouTube"/>
    <d v="2024-10-21T00:00:00"/>
    <s v="Video"/>
    <s v="Check out our latest video on youtube!"/>
    <n v="4275"/>
    <n v="680"/>
    <n v="385"/>
    <n v="64125"/>
    <n v="63650"/>
    <n v="104"/>
    <x v="0"/>
  </r>
  <r>
    <s v="P261"/>
    <s v="Instagram"/>
    <d v="2024-10-27T00:00:00"/>
    <s v="Image"/>
    <s v="Check out our latest image on instagram!"/>
    <n v="4853"/>
    <n v="837"/>
    <n v="340"/>
    <n v="72795"/>
    <n v="72237"/>
    <n v="170"/>
    <x v="0"/>
  </r>
  <r>
    <s v="P209"/>
    <s v="Twitter"/>
    <d v="2025-03-19T00:00:00"/>
    <s v="Video"/>
    <s v="Check out our latest video on twitter!"/>
    <n v="3160"/>
    <n v="204"/>
    <n v="297"/>
    <n v="44240"/>
    <n v="43666"/>
    <n v="49"/>
    <x v="2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x v="0"/>
  </r>
  <r>
    <s v="P202"/>
    <s v="Facebook"/>
    <d v="2024-06-02T00:00:00"/>
    <s v="Image"/>
    <s v="Check out our latest image on facebook!"/>
    <n v="1871"/>
    <n v="252"/>
    <n v="335"/>
    <n v="29936"/>
    <n v="29576"/>
    <n v="288"/>
    <x v="0"/>
  </r>
  <r>
    <s v="P078"/>
    <s v="Twitter"/>
    <d v="2024-06-17T00:00:00"/>
    <s v="Image"/>
    <s v="Check out our latest image on twitter!"/>
    <n v="954"/>
    <n v="324"/>
    <n v="288"/>
    <n v="19080"/>
    <n v="18859"/>
    <n v="21"/>
    <x v="2"/>
  </r>
  <r>
    <s v="P064"/>
    <s v="Facebook"/>
    <d v="2024-08-17T00:00:00"/>
    <s v="Image"/>
    <s v="Check out our latest image on facebook!"/>
    <n v="2878"/>
    <n v="248"/>
    <n v="416"/>
    <n v="43170"/>
    <n v="42667"/>
    <n v="75"/>
    <x v="2"/>
  </r>
  <r>
    <s v="P228"/>
    <s v="Instagram"/>
    <d v="2024-07-01T00:00:00"/>
    <s v="Story"/>
    <s v="Check out our latest story on instagram!"/>
    <n v="4808"/>
    <n v="772"/>
    <n v="320"/>
    <n v="72120"/>
    <n v="71696"/>
    <n v="195"/>
    <x v="0"/>
  </r>
  <r>
    <s v="P076"/>
    <s v="Twitter"/>
    <d v="2024-11-07T00:00:00"/>
    <s v="Story"/>
    <s v="Check out our latest story on twitter!"/>
    <n v="1121"/>
    <n v="135"/>
    <n v="18"/>
    <n v="15694"/>
    <n v="14957"/>
    <n v="99"/>
    <x v="1"/>
  </r>
  <r>
    <s v="P057"/>
    <s v="Twitter"/>
    <d v="2024-10-21T00:00:00"/>
    <s v="Video"/>
    <s v="Check out our latest video on twitter!"/>
    <n v="2825"/>
    <n v="535"/>
    <n v="295"/>
    <n v="45200"/>
    <n v="44739"/>
    <n v="169"/>
    <x v="1"/>
  </r>
  <r>
    <s v="P122"/>
    <s v="Instagram"/>
    <d v="2024-10-02T00:00:00"/>
    <s v="Text"/>
    <s v="Check out our latest text on instagram!"/>
    <n v="3432"/>
    <n v="869"/>
    <n v="123"/>
    <n v="54912"/>
    <n v="53916"/>
    <n v="264"/>
    <x v="0"/>
  </r>
  <r>
    <s v="P022"/>
    <s v="Facebook"/>
    <d v="2025-02-27T00:00:00"/>
    <s v="Text"/>
    <s v="Check out our latest text on facebook!"/>
    <n v="1570"/>
    <n v="187"/>
    <n v="260"/>
    <n v="25120"/>
    <n v="24613"/>
    <n v="133"/>
    <x v="1"/>
  </r>
  <r>
    <s v="P118"/>
    <s v="Facebook"/>
    <d v="2024-11-04T00:00:00"/>
    <s v="Image"/>
    <s v="Check out our latest image on facebook!"/>
    <n v="4551"/>
    <n v="714"/>
    <n v="207"/>
    <n v="68265"/>
    <n v="67754"/>
    <n v="57"/>
    <x v="2"/>
  </r>
  <r>
    <s v="P257"/>
    <s v="Facebook"/>
    <d v="2025-04-06T00:00:00"/>
    <s v="Image"/>
    <s v="Check out our latest image on facebook!"/>
    <n v="3090"/>
    <n v="697"/>
    <n v="164"/>
    <n v="49440"/>
    <n v="48524"/>
    <n v="25"/>
    <x v="0"/>
  </r>
  <r>
    <s v="P091"/>
    <s v="Facebook"/>
    <d v="2025-03-24T00:00:00"/>
    <s v="Image"/>
    <s v="Check out our latest image on facebook!"/>
    <n v="1263"/>
    <n v="397"/>
    <n v="357"/>
    <n v="25260"/>
    <n v="24615"/>
    <n v="137"/>
    <x v="0"/>
  </r>
  <r>
    <s v="P274"/>
    <s v="Twitter"/>
    <d v="2025-01-01T00:00:00"/>
    <s v="Carousel"/>
    <s v="Check out our latest carousel on twitter!"/>
    <n v="3535"/>
    <n v="494"/>
    <n v="152"/>
    <n v="53025"/>
    <n v="52791"/>
    <n v="44"/>
    <x v="1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x v="2"/>
  </r>
  <r>
    <s v="P080"/>
    <s v="Instagram"/>
    <d v="2024-06-13T00:00:00"/>
    <s v="Story"/>
    <s v="Check out our latest story on instagram!"/>
    <n v="2103"/>
    <n v="892"/>
    <n v="103"/>
    <n v="39957"/>
    <n v="39466"/>
    <n v="28"/>
    <x v="2"/>
  </r>
  <r>
    <s v="P230"/>
    <s v="Facebook"/>
    <d v="2024-07-15T00:00:00"/>
    <s v="Reel"/>
    <s v="Check out our latest reel on facebook!"/>
    <n v="3663"/>
    <n v="17"/>
    <n v="295"/>
    <n v="51282"/>
    <n v="50567"/>
    <n v="84"/>
    <x v="0"/>
  </r>
  <r>
    <s v="P149"/>
    <s v="Twitter"/>
    <d v="2024-06-16T00:00:00"/>
    <s v="Video"/>
    <s v="Check out our latest video on twitter!"/>
    <n v="1702"/>
    <n v="750"/>
    <n v="179"/>
    <n v="34040"/>
    <n v="33174"/>
    <n v="76"/>
    <x v="0"/>
  </r>
  <r>
    <s v="P021"/>
    <s v="Instagram"/>
    <d v="2025-01-04T00:00:00"/>
    <s v="Reel"/>
    <s v="Check out our latest reel on instagram!"/>
    <n v="4838"/>
    <n v="640"/>
    <n v="128"/>
    <n v="72570"/>
    <n v="72396"/>
    <n v="83"/>
    <x v="2"/>
  </r>
  <r>
    <s v="P023"/>
    <s v="Facebook"/>
    <d v="2024-11-06T00:00:00"/>
    <s v="Video"/>
    <s v="Check out our latest video on facebook!"/>
    <n v="1606"/>
    <n v="547"/>
    <n v="316"/>
    <n v="32120"/>
    <n v="31736"/>
    <n v="225"/>
    <x v="1"/>
  </r>
  <r>
    <s v="P036"/>
    <s v="Instagram"/>
    <d v="2025-04-19T00:00:00"/>
    <s v="Story"/>
    <s v="Check out our latest story on instagram!"/>
    <n v="4518"/>
    <n v="285"/>
    <n v="383"/>
    <n v="67770"/>
    <n v="67621"/>
    <n v="31"/>
    <x v="0"/>
  </r>
  <r>
    <s v="P002"/>
    <s v="Twitter"/>
    <d v="2025-04-03T00:00:00"/>
    <s v="Text"/>
    <s v="Check out our latest text on twitter!"/>
    <n v="4054"/>
    <n v="389"/>
    <n v="493"/>
    <n v="64864"/>
    <n v="64383"/>
    <n v="117"/>
    <x v="1"/>
  </r>
  <r>
    <s v="P234"/>
    <s v="Facebook"/>
    <d v="2024-06-01T00:00:00"/>
    <s v="Text"/>
    <s v="Check out our latest text on facebook!"/>
    <n v="1272"/>
    <n v="465"/>
    <n v="99"/>
    <n v="24168"/>
    <n v="23719"/>
    <n v="42"/>
    <x v="1"/>
  </r>
  <r>
    <s v="P013"/>
    <s v="YouTube"/>
    <d v="2024-11-18T00:00:00"/>
    <s v="Carousel"/>
    <s v="Check out our latest carousel on youtube!"/>
    <n v="1171"/>
    <n v="286"/>
    <n v="231"/>
    <n v="22249"/>
    <n v="21282"/>
    <n v="114"/>
    <x v="0"/>
  </r>
  <r>
    <s v="P016"/>
    <s v="Facebook"/>
    <d v="2024-08-26T00:00:00"/>
    <s v="Text"/>
    <s v="Check out our latest text on facebook!"/>
    <n v="3452"/>
    <n v="377"/>
    <n v="360"/>
    <n v="55232"/>
    <n v="55075"/>
    <n v="87"/>
    <x v="2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x v="1"/>
  </r>
  <r>
    <s v="P045"/>
    <s v="Facebook"/>
    <d v="2024-11-01T00:00:00"/>
    <s v="Video"/>
    <s v="Check out our latest video on facebook!"/>
    <n v="3371"/>
    <n v="106"/>
    <n v="327"/>
    <n v="50565"/>
    <n v="49816"/>
    <n v="176"/>
    <x v="2"/>
  </r>
  <r>
    <s v="P168"/>
    <s v="Facebook"/>
    <d v="2024-11-12T00:00:00"/>
    <s v="Text"/>
    <s v="Check out our latest text on facebook!"/>
    <n v="2418"/>
    <n v="754"/>
    <n v="54"/>
    <n v="43524"/>
    <n v="42743"/>
    <n v="182"/>
    <x v="0"/>
  </r>
  <r>
    <s v="P111"/>
    <s v="YouTube"/>
    <d v="2024-11-23T00:00:00"/>
    <s v="Image"/>
    <s v="Check out our latest image on youtube!"/>
    <n v="2719"/>
    <n v="17"/>
    <n v="285"/>
    <n v="40785"/>
    <n v="40281"/>
    <n v="40"/>
    <x v="1"/>
  </r>
  <r>
    <s v="P101"/>
    <s v="YouTube"/>
    <d v="2024-10-18T00:00:00"/>
    <s v="Video"/>
    <s v="Check out our latest video on youtube!"/>
    <n v="4450"/>
    <n v="983"/>
    <n v="143"/>
    <n v="75650"/>
    <n v="75008"/>
    <n v="12"/>
    <x v="2"/>
  </r>
  <r>
    <s v="P048"/>
    <s v="Twitter"/>
    <d v="2025-03-11T00:00:00"/>
    <s v="Story"/>
    <s v="Check out our latest story on twitter!"/>
    <n v="1950"/>
    <n v="295"/>
    <n v="478"/>
    <n v="37050"/>
    <n v="36272"/>
    <n v="119"/>
    <x v="1"/>
  </r>
  <r>
    <s v="P250"/>
    <s v="Facebook"/>
    <d v="2024-06-22T00:00:00"/>
    <s v="Reel"/>
    <s v="Check out our latest reel on facebook!"/>
    <n v="3813"/>
    <n v="935"/>
    <n v="274"/>
    <n v="68634"/>
    <n v="68488"/>
    <n v="251"/>
    <x v="2"/>
  </r>
  <r>
    <s v="P289"/>
    <s v="Facebook"/>
    <d v="2024-11-28T00:00:00"/>
    <s v="Carousel"/>
    <s v="Check out our latest carousel on facebook!"/>
    <n v="2751"/>
    <n v="33"/>
    <n v="430"/>
    <n v="44016"/>
    <n v="43415"/>
    <n v="129"/>
    <x v="2"/>
  </r>
  <r>
    <s v="P233"/>
    <s v="Facebook"/>
    <d v="2025-03-08T00:00:00"/>
    <s v="Image"/>
    <s v="Check out our latest image on facebook!"/>
    <n v="2382"/>
    <n v="265"/>
    <n v="134"/>
    <n v="38112"/>
    <n v="37437"/>
    <n v="249"/>
    <x v="2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x v="0"/>
  </r>
  <r>
    <s v="P238"/>
    <s v="Twitter"/>
    <d v="2024-07-16T00:00:00"/>
    <s v="Text"/>
    <s v="Check out our latest text on twitter!"/>
    <n v="4725"/>
    <n v="400"/>
    <n v="362"/>
    <n v="75600"/>
    <n v="74927"/>
    <n v="43"/>
    <x v="2"/>
  </r>
  <r>
    <s v="P189"/>
    <s v="Facebook"/>
    <d v="2025-03-24T00:00:00"/>
    <s v="Reel"/>
    <s v="Check out our latest reel on facebook!"/>
    <n v="3360"/>
    <n v="525"/>
    <n v="500"/>
    <n v="60480"/>
    <n v="59610"/>
    <n v="192"/>
    <x v="1"/>
  </r>
  <r>
    <s v="P039"/>
    <s v="Facebook"/>
    <d v="2024-11-25T00:00:00"/>
    <s v="Image"/>
    <s v="Check out our latest image on facebook!"/>
    <n v="3564"/>
    <n v="629"/>
    <n v="177"/>
    <n v="60588"/>
    <n v="59627"/>
    <n v="92"/>
    <x v="1"/>
  </r>
  <r>
    <s v="P215"/>
    <s v="Facebook"/>
    <d v="2025-05-06T00:00:00"/>
    <s v="Image"/>
    <s v="Check out our latest image on facebook!"/>
    <n v="4872"/>
    <n v="925"/>
    <n v="176"/>
    <n v="82824"/>
    <n v="82543"/>
    <n v="89"/>
    <x v="0"/>
  </r>
  <r>
    <s v="P024"/>
    <s v="Facebook"/>
    <d v="2025-01-23T00:00:00"/>
    <s v="Video"/>
    <s v="Check out our latest video on facebook!"/>
    <n v="3961"/>
    <n v="761"/>
    <n v="131"/>
    <n v="67337"/>
    <n v="66615"/>
    <n v="161"/>
    <x v="2"/>
  </r>
  <r>
    <s v="P099"/>
    <s v="YouTube"/>
    <d v="2024-07-02T00:00:00"/>
    <s v="Carousel"/>
    <s v="Check out our latest carousel on youtube!"/>
    <n v="4171"/>
    <n v="548"/>
    <n v="86"/>
    <n v="66736"/>
    <n v="66634"/>
    <n v="173"/>
    <x v="2"/>
  </r>
  <r>
    <s v="P010"/>
    <s v="Facebook"/>
    <d v="2025-03-11T00:00:00"/>
    <s v="Image"/>
    <s v="Check out our latest image on facebook!"/>
    <n v="4241"/>
    <n v="902"/>
    <n v="47"/>
    <n v="72097"/>
    <n v="71598"/>
    <n v="167"/>
    <x v="1"/>
  </r>
  <r>
    <s v="P291"/>
    <s v="Facebook"/>
    <d v="2024-11-06T00:00:00"/>
    <s v="Video"/>
    <s v="Check out our latest video on facebook!"/>
    <n v="4663"/>
    <n v="145"/>
    <n v="225"/>
    <n v="69945"/>
    <n v="69596"/>
    <n v="35"/>
    <x v="0"/>
  </r>
  <r>
    <s v="P133"/>
    <s v="Facebook"/>
    <d v="2025-02-06T00:00:00"/>
    <s v="Image"/>
    <s v="Check out our latest image on facebook!"/>
    <n v="2072"/>
    <n v="532"/>
    <n v="71"/>
    <n v="37296"/>
    <n v="36467"/>
    <n v="25"/>
    <x v="1"/>
  </r>
  <r>
    <s v="P027"/>
    <s v="YouTube"/>
    <d v="2024-09-17T00:00:00"/>
    <s v="Text"/>
    <s v="Check out our latest text on youtube!"/>
    <n v="2076"/>
    <n v="195"/>
    <n v="104"/>
    <n v="33216"/>
    <n v="32244"/>
    <n v="51"/>
    <x v="2"/>
  </r>
  <r>
    <s v="P134"/>
    <s v="Twitter"/>
    <d v="2025-04-24T00:00:00"/>
    <s v="Reel"/>
    <s v="Check out our latest reel on twitter!"/>
    <n v="3731"/>
    <n v="115"/>
    <n v="135"/>
    <n v="55965"/>
    <n v="55436"/>
    <n v="103"/>
    <x v="1"/>
  </r>
  <r>
    <s v="P090"/>
    <s v="Instagram"/>
    <d v="2024-06-03T00:00:00"/>
    <s v="Image"/>
    <s v="Check out our latest image on instagram!"/>
    <n v="3861"/>
    <n v="960"/>
    <n v="101"/>
    <n v="69498"/>
    <n v="68817"/>
    <n v="297"/>
    <x v="1"/>
  </r>
  <r>
    <s v="P034"/>
    <s v="Facebook"/>
    <d v="2025-03-26T00:00:00"/>
    <s v="Text"/>
    <s v="Check out our latest text on facebook!"/>
    <n v="1652"/>
    <n v="89"/>
    <n v="357"/>
    <n v="29736"/>
    <n v="28771"/>
    <n v="215"/>
    <x v="1"/>
  </r>
  <r>
    <s v="P007"/>
    <s v="Twitter"/>
    <d v="2024-06-24T00:00:00"/>
    <s v="Carousel"/>
    <s v="Check out our latest carousel on twitter!"/>
    <n v="3860"/>
    <n v="201"/>
    <n v="279"/>
    <n v="61760"/>
    <n v="61660"/>
    <n v="235"/>
    <x v="1"/>
  </r>
  <r>
    <s v="P142"/>
    <s v="YouTube"/>
    <d v="2025-03-25T00:00:00"/>
    <s v="Story"/>
    <s v="Check out our latest story on youtube!"/>
    <n v="2070"/>
    <n v="275"/>
    <n v="386"/>
    <n v="39330"/>
    <n v="38627"/>
    <n v="114"/>
    <x v="2"/>
  </r>
  <r>
    <s v="P127"/>
    <s v="Facebook"/>
    <d v="2025-01-27T00:00:00"/>
    <s v="Reel"/>
    <s v="Check out our latest reel on facebook!"/>
    <n v="3452"/>
    <n v="652"/>
    <n v="442"/>
    <n v="65588"/>
    <n v="65049"/>
    <n v="158"/>
    <x v="2"/>
  </r>
  <r>
    <s v="P170"/>
    <s v="Twitter"/>
    <d v="2025-04-28T00:00:00"/>
    <s v="Text"/>
    <s v="Check out our latest text on twitter!"/>
    <n v="3577"/>
    <n v="596"/>
    <n v="493"/>
    <n v="67963"/>
    <n v="67839"/>
    <n v="53"/>
    <x v="1"/>
  </r>
  <r>
    <s v="P095"/>
    <s v="Instagram"/>
    <d v="2024-11-08T00:00:00"/>
    <s v="Text"/>
    <s v="Check out our latest text on instagram!"/>
    <n v="3182"/>
    <n v="559"/>
    <n v="160"/>
    <n v="57276"/>
    <n v="56890"/>
    <n v="163"/>
    <x v="2"/>
  </r>
  <r>
    <s v="P288"/>
    <s v="YouTube"/>
    <d v="2025-04-17T00:00:00"/>
    <s v="Carousel"/>
    <s v="Check out our latest carousel on youtube!"/>
    <n v="4780"/>
    <n v="691"/>
    <n v="380"/>
    <n v="86040"/>
    <n v="85743"/>
    <n v="262"/>
    <x v="2"/>
  </r>
  <r>
    <s v="P237"/>
    <s v="Instagram"/>
    <d v="2024-10-22T00:00:00"/>
    <s v="Story"/>
    <s v="Check out our latest story on instagram!"/>
    <n v="3770"/>
    <n v="917"/>
    <n v="129"/>
    <n v="71630"/>
    <n v="71322"/>
    <n v="76"/>
    <x v="2"/>
  </r>
  <r>
    <s v="P270"/>
    <s v="YouTube"/>
    <d v="2025-01-15T00:00:00"/>
    <s v="Reel"/>
    <s v="Check out our latest reel on youtube!"/>
    <n v="3774"/>
    <n v="239"/>
    <n v="39"/>
    <n v="60384"/>
    <n v="59490"/>
    <n v="241"/>
    <x v="1"/>
  </r>
  <r>
    <s v="P005"/>
    <s v="YouTube"/>
    <d v="2024-06-26T00:00:00"/>
    <s v="Reel"/>
    <s v="Check out our latest reel on youtube!"/>
    <n v="3557"/>
    <n v="687"/>
    <n v="424"/>
    <n v="71140"/>
    <n v="70701"/>
    <n v="224"/>
    <x v="0"/>
  </r>
  <r>
    <s v="P086"/>
    <s v="YouTube"/>
    <d v="2025-01-27T00:00:00"/>
    <s v="Text"/>
    <s v="Check out our latest text on youtube!"/>
    <n v="3428"/>
    <n v="305"/>
    <n v="85"/>
    <n v="58276"/>
    <n v="58052"/>
    <n v="242"/>
    <x v="0"/>
  </r>
  <r>
    <s v="P144"/>
    <s v="YouTube"/>
    <d v="2024-10-28T00:00:00"/>
    <s v="Story"/>
    <s v="Check out our latest story on youtube!"/>
    <n v="4929"/>
    <n v="749"/>
    <n v="452"/>
    <n v="93651"/>
    <n v="92810"/>
    <n v="66"/>
    <x v="0"/>
  </r>
  <r>
    <s v="P197"/>
    <s v="Twitter"/>
    <d v="2024-10-22T00:00:00"/>
    <s v="Reel"/>
    <s v="Check out our latest reel on twitter!"/>
    <n v="4782"/>
    <n v="721"/>
    <n v="82"/>
    <n v="86076"/>
    <n v="85339"/>
    <n v="19"/>
    <x v="0"/>
  </r>
  <r>
    <s v="P135"/>
    <s v="Facebook"/>
    <d v="2024-11-28T00:00:00"/>
    <s v="Text"/>
    <s v="Check out our latest text on facebook!"/>
    <n v="4213"/>
    <n v="253"/>
    <n v="434"/>
    <n v="75834"/>
    <n v="75437"/>
    <n v="272"/>
    <x v="2"/>
  </r>
  <r>
    <s v="P073"/>
    <s v="Facebook"/>
    <d v="2024-10-18T00:00:00"/>
    <s v="Story"/>
    <s v="Check out our latest story on facebook!"/>
    <n v="4126"/>
    <n v="426"/>
    <n v="486"/>
    <n v="78394"/>
    <n v="77798"/>
    <n v="88"/>
    <x v="2"/>
  </r>
  <r>
    <s v="P267"/>
    <s v="Twitter"/>
    <d v="2024-10-04T00:00:00"/>
    <s v="Reel"/>
    <s v="Check out our latest reel on twitter!"/>
    <n v="4187"/>
    <n v="66"/>
    <n v="31"/>
    <n v="66992"/>
    <n v="66614"/>
    <n v="62"/>
    <x v="2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x v="1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x v="0"/>
  </r>
  <r>
    <s v="P150"/>
    <s v="YouTube"/>
    <d v="2024-08-22T00:00:00"/>
    <s v="Carousel"/>
    <s v="Check out our latest carousel on youtube!"/>
    <n v="4295"/>
    <n v="853"/>
    <n v="325"/>
    <n v="85900"/>
    <n v="85788"/>
    <n v="290"/>
    <x v="1"/>
  </r>
  <r>
    <s v="P281"/>
    <s v="YouTube"/>
    <d v="2025-03-22T00:00:00"/>
    <s v="Image"/>
    <s v="Check out our latest image on youtube!"/>
    <n v="3166"/>
    <n v="90"/>
    <n v="341"/>
    <n v="56988"/>
    <n v="56125"/>
    <n v="135"/>
    <x v="0"/>
  </r>
  <r>
    <s v="P217"/>
    <s v="Facebook"/>
    <d v="2024-12-03T00:00:00"/>
    <s v="Image"/>
    <s v="Check out our latest image on facebook!"/>
    <n v="4606"/>
    <n v="931"/>
    <n v="230"/>
    <n v="92120"/>
    <n v="91440"/>
    <n v="56"/>
    <x v="1"/>
  </r>
  <r>
    <s v="P200"/>
    <s v="Facebook"/>
    <d v="2025-04-07T00:00:00"/>
    <s v="Reel"/>
    <s v="Check out our latest reel on facebook!"/>
    <n v="3718"/>
    <n v="385"/>
    <n v="310"/>
    <n v="70642"/>
    <n v="69749"/>
    <n v="233"/>
    <x v="1"/>
  </r>
  <r>
    <s v="P107"/>
    <s v="YouTube"/>
    <d v="2024-06-21T00:00:00"/>
    <s v="Image"/>
    <s v="Check out our latest image on youtube!"/>
    <n v="4832"/>
    <n v="893"/>
    <n v="10"/>
    <n v="91808"/>
    <n v="91296"/>
    <n v="182"/>
    <x v="1"/>
  </r>
  <r>
    <s v="P115"/>
    <s v="Twitter"/>
    <d v="2025-05-11T00:00:00"/>
    <s v="Image"/>
    <s v="Check out our latest image on twitter!"/>
    <n v="2493"/>
    <n v="97"/>
    <n v="44"/>
    <n v="42381"/>
    <n v="41991"/>
    <n v="242"/>
    <x v="1"/>
  </r>
  <r>
    <s v="P223"/>
    <s v="Twitter"/>
    <d v="2024-11-12T00:00:00"/>
    <s v="Image"/>
    <s v="Check out our latest image on twitter!"/>
    <n v="3338"/>
    <n v="277"/>
    <n v="118"/>
    <n v="60084"/>
    <n v="59842"/>
    <n v="252"/>
    <x v="1"/>
  </r>
  <r>
    <s v="P279"/>
    <s v="YouTube"/>
    <d v="2024-09-02T00:00:00"/>
    <s v="Image"/>
    <s v="Check out our latest image on youtube!"/>
    <n v="4905"/>
    <n v="845"/>
    <n v="129"/>
    <n v="98100"/>
    <n v="97772"/>
    <n v="279"/>
    <x v="1"/>
  </r>
  <r>
    <s v="P025"/>
    <s v="Twitter"/>
    <d v="2025-04-10T00:00:00"/>
    <s v="Carousel"/>
    <s v="Check out our latest carousel on twitter!"/>
    <n v="3128"/>
    <n v="211"/>
    <n v="197"/>
    <n v="59432"/>
    <n v="59182"/>
    <n v="238"/>
    <x v="0"/>
  </r>
  <r>
    <s v="P015"/>
    <s v="Facebook"/>
    <d v="2024-10-24T00:00:00"/>
    <s v="Video"/>
    <s v="Check out our latest video on facebook!"/>
    <n v="3888"/>
    <n v="604"/>
    <n v="128"/>
    <n v="77760"/>
    <n v="77167"/>
    <n v="20"/>
    <x v="2"/>
  </r>
  <r>
    <s v="P296"/>
    <s v="Twitter"/>
    <d v="2025-02-11T00:00:00"/>
    <s v="Video"/>
    <s v="Check out our latest video on twitter!"/>
    <n v="3440"/>
    <n v="13"/>
    <n v="20"/>
    <n v="58480"/>
    <n v="58146"/>
    <n v="210"/>
    <x v="1"/>
  </r>
  <r>
    <s v="P298"/>
    <s v="Facebook"/>
    <d v="2024-10-24T00:00:00"/>
    <s v="Image"/>
    <s v="Check out our latest image on facebook!"/>
    <n v="4303"/>
    <n v="451"/>
    <n v="286"/>
    <n v="86060"/>
    <n v="85823"/>
    <n v="14"/>
    <x v="1"/>
  </r>
  <r>
    <s v="P216"/>
    <s v="YouTube"/>
    <d v="2024-07-29T00:00:00"/>
    <s v="Story"/>
    <s v="Check out our latest story on youtube!"/>
    <n v="1509"/>
    <n v="88"/>
    <n v="163"/>
    <n v="30180"/>
    <n v="29689"/>
    <n v="119"/>
    <x v="0"/>
  </r>
  <r>
    <s v="P283"/>
    <s v="Twitter"/>
    <d v="2025-05-09T00:00:00"/>
    <s v="Reel"/>
    <s v="Check out our latest reel on twitter!"/>
    <n v="3367"/>
    <n v="302"/>
    <n v="57"/>
    <n v="63973"/>
    <n v="63789"/>
    <n v="157"/>
    <x v="2"/>
  </r>
  <r>
    <s v="P256"/>
    <s v="YouTube"/>
    <d v="2024-09-18T00:00:00"/>
    <s v="Carousel"/>
    <s v="Check out our latest carousel on youtube!"/>
    <n v="2143"/>
    <n v="12"/>
    <n v="204"/>
    <n v="40717"/>
    <n v="40125"/>
    <n v="248"/>
    <x v="0"/>
  </r>
  <r>
    <s v="P030"/>
    <s v="Instagram"/>
    <d v="2025-02-25T00:00:00"/>
    <s v="Video"/>
    <s v="Check out our latest video on instagram!"/>
    <n v="3095"/>
    <n v="39"/>
    <n v="78"/>
    <n v="55710"/>
    <n v="54808"/>
    <n v="93"/>
    <x v="0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x v="2"/>
  </r>
  <r>
    <s v="P225"/>
    <s v="Twitter"/>
    <d v="2024-06-20T00:00:00"/>
    <s v="Carousel"/>
    <s v="Check out our latest carousel on twitter!"/>
    <n v="4672"/>
    <n v="325"/>
    <n v="32"/>
    <n v="88768"/>
    <n v="87833"/>
    <n v="118"/>
    <x v="0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x v="1"/>
  </r>
  <r>
    <s v="P190"/>
    <s v="YouTube"/>
    <d v="2024-10-04T00:00:00"/>
    <s v="Text"/>
    <s v="Check out our latest text on youtube!"/>
    <n v="1963"/>
    <n v="213"/>
    <n v="19"/>
    <n v="39260"/>
    <n v="38771"/>
    <n v="145"/>
    <x v="2"/>
  </r>
  <r>
    <s v="P003"/>
    <s v="YouTube"/>
    <d v="2025-05-12T00:00:00"/>
    <s v="Reel"/>
    <s v="Check out our latest reel on youtube!"/>
    <n v="2795"/>
    <n v="105"/>
    <n v="49"/>
    <n v="53105"/>
    <n v="52307"/>
    <n v="204"/>
    <x v="1"/>
  </r>
  <r>
    <s v="P176"/>
    <s v="Facebook"/>
    <d v="2024-06-20T00:00:00"/>
    <s v="Video"/>
    <s v="Check out our latest video on facebook!"/>
    <n v="3798"/>
    <n v="31"/>
    <n v="279"/>
    <n v="75960"/>
    <n v="75813"/>
    <n v="266"/>
    <x v="1"/>
  </r>
  <r>
    <s v="P063"/>
    <s v="Twitter"/>
    <d v="2024-07-31T00:00:00"/>
    <s v="Carousel"/>
    <s v="Check out our latest carousel on twitter!"/>
    <n v="4507"/>
    <n v="217"/>
    <n v="13"/>
    <n v="90140"/>
    <n v="89591"/>
    <n v="125"/>
    <x v="2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  <r>
    <m/>
    <m/>
    <m/>
    <m/>
    <m/>
    <m/>
    <m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4">
  <r>
    <x v="0"/>
    <x v="0"/>
    <x v="0"/>
    <m/>
    <n v="1.8129251700680271"/>
  </r>
  <r>
    <x v="1"/>
    <x v="0"/>
    <x v="0"/>
    <s v="SustainabilityDrive"/>
    <n v="0.86601941747572819"/>
  </r>
  <r>
    <x v="0"/>
    <x v="0"/>
    <x v="0"/>
    <s v="SustainabilityDrive"/>
    <n v="0.7168674698795181"/>
  </r>
  <r>
    <x v="1"/>
    <x v="0"/>
    <x v="0"/>
    <s v="SustainabilityDrive"/>
    <n v="0.70387596899224802"/>
  </r>
  <r>
    <x v="2"/>
    <x v="0"/>
    <x v="0"/>
    <s v="SustainabilityDrive"/>
    <n v="0.6508215962441315"/>
  </r>
  <r>
    <x v="1"/>
    <x v="0"/>
    <x v="0"/>
    <s v="FSDUpdate"/>
    <n v="0.53773584905660377"/>
  </r>
  <r>
    <x v="1"/>
    <x v="0"/>
    <x v="0"/>
    <s v="ModelYCampaign"/>
    <n v="0.53389830508474578"/>
  </r>
  <r>
    <x v="1"/>
    <x v="0"/>
    <x v="0"/>
    <s v="FSDUpdate"/>
    <n v="0.50192307692307692"/>
  </r>
  <r>
    <x v="2"/>
    <x v="0"/>
    <x v="0"/>
    <s v="CybertruckLaunch"/>
    <n v="0.48518407662376534"/>
  </r>
  <r>
    <x v="1"/>
    <x v="0"/>
    <x v="0"/>
    <m/>
    <n v="0.38274706867671693"/>
  </r>
  <r>
    <x v="2"/>
    <x v="0"/>
    <x v="0"/>
    <s v="ModelYCampaign"/>
    <n v="0.37955854126679461"/>
  </r>
  <r>
    <x v="0"/>
    <x v="1"/>
    <x v="0"/>
    <m/>
    <n v="0.36965174129353234"/>
  </r>
  <r>
    <x v="0"/>
    <x v="0"/>
    <x v="0"/>
    <s v="ModelYCampaign"/>
    <n v="0.35666666666666669"/>
  </r>
  <r>
    <x v="0"/>
    <x v="0"/>
    <x v="0"/>
    <s v="CybertruckLaunch"/>
    <n v="0.33618012422360249"/>
  </r>
  <r>
    <x v="2"/>
    <x v="0"/>
    <x v="0"/>
    <m/>
    <n v="0.32349397590361445"/>
  </r>
  <r>
    <x v="1"/>
    <x v="0"/>
    <x v="0"/>
    <s v="FSDUpdate"/>
    <n v="0.32083531086853345"/>
  </r>
  <r>
    <x v="2"/>
    <x v="0"/>
    <x v="0"/>
    <s v="SustainabilityDrive"/>
    <n v="0.31965192168237855"/>
  </r>
  <r>
    <x v="2"/>
    <x v="0"/>
    <x v="0"/>
    <m/>
    <n v="0.31705583756345179"/>
  </r>
  <r>
    <x v="0"/>
    <x v="0"/>
    <x v="0"/>
    <s v="CybertruckLaunch"/>
    <n v="0.30126002290950743"/>
  </r>
  <r>
    <x v="2"/>
    <x v="0"/>
    <x v="0"/>
    <s v="FSDUpdate"/>
    <n v="0.29713518352730528"/>
  </r>
  <r>
    <x v="0"/>
    <x v="0"/>
    <x v="0"/>
    <s v="CybertruckLaunch"/>
    <n v="0.29199735449735448"/>
  </r>
  <r>
    <x v="2"/>
    <x v="0"/>
    <x v="0"/>
    <s v="ModelYCampaign"/>
    <n v="0.28696581196581195"/>
  </r>
  <r>
    <x v="1"/>
    <x v="0"/>
    <x v="0"/>
    <s v="ModelYCampaign"/>
    <n v="0.28245270711024134"/>
  </r>
  <r>
    <x v="0"/>
    <x v="0"/>
    <x v="0"/>
    <s v="FSDUpdate"/>
    <n v="0.28045655718611695"/>
  </r>
  <r>
    <x v="2"/>
    <x v="0"/>
    <x v="0"/>
    <s v="ModelYCampaign"/>
    <n v="0.26876680752977333"/>
  </r>
  <r>
    <x v="0"/>
    <x v="0"/>
    <x v="0"/>
    <m/>
    <n v="0.26297968397291194"/>
  </r>
  <r>
    <x v="2"/>
    <x v="0"/>
    <x v="0"/>
    <s v="FSDUpdate"/>
    <n v="0.25869984981763572"/>
  </r>
  <r>
    <x v="1"/>
    <x v="0"/>
    <x v="0"/>
    <s v="CybertruckLaunch"/>
    <n v="0.25771055753262156"/>
  </r>
  <r>
    <x v="1"/>
    <x v="0"/>
    <x v="0"/>
    <s v="SustainabilityDrive"/>
    <n v="0.25701459034792368"/>
  </r>
  <r>
    <x v="1"/>
    <x v="0"/>
    <x v="0"/>
    <m/>
    <n v="0.25537047673750718"/>
  </r>
  <r>
    <x v="0"/>
    <x v="0"/>
    <x v="0"/>
    <s v="SustainabilityDrive"/>
    <n v="0.25279701651571657"/>
  </r>
  <r>
    <x v="2"/>
    <x v="0"/>
    <x v="0"/>
    <m/>
    <n v="0.25062082139446035"/>
  </r>
  <r>
    <x v="2"/>
    <x v="0"/>
    <x v="0"/>
    <s v="CybertruckLaunch"/>
    <n v="0.24763928234183191"/>
  </r>
  <r>
    <x v="0"/>
    <x v="0"/>
    <x v="0"/>
    <s v="SustainabilityDrive"/>
    <n v="0.24349030470914126"/>
  </r>
  <r>
    <x v="0"/>
    <x v="0"/>
    <x v="0"/>
    <s v="FSDUpdate"/>
    <n v="0.23673521198273673"/>
  </r>
  <r>
    <x v="2"/>
    <x v="0"/>
    <x v="0"/>
    <s v="ModelYCampaign"/>
    <n v="0.23656250000000001"/>
  </r>
  <r>
    <x v="0"/>
    <x v="0"/>
    <x v="0"/>
    <s v="CybertruckLaunch"/>
    <n v="0.23616777446710979"/>
  </r>
  <r>
    <x v="0"/>
    <x v="0"/>
    <x v="0"/>
    <s v="FSDUpdate"/>
    <n v="0.23414918414918415"/>
  </r>
  <r>
    <x v="2"/>
    <x v="0"/>
    <x v="0"/>
    <m/>
    <n v="0.2316508937960042"/>
  </r>
  <r>
    <x v="1"/>
    <x v="0"/>
    <x v="0"/>
    <s v="ModelYCampaign"/>
    <n v="0.23101532992668297"/>
  </r>
  <r>
    <x v="1"/>
    <x v="0"/>
    <x v="0"/>
    <s v="ModelYCampaign"/>
    <n v="0.22157421618066214"/>
  </r>
  <r>
    <x v="0"/>
    <x v="0"/>
    <x v="0"/>
    <m/>
    <n v="0.21840570317563188"/>
  </r>
  <r>
    <x v="1"/>
    <x v="0"/>
    <x v="0"/>
    <s v="FSDUpdate"/>
    <n v="0.21826126954921804"/>
  </r>
  <r>
    <x v="2"/>
    <x v="0"/>
    <x v="0"/>
    <s v="ModelYCampaign"/>
    <n v="0.21745283018867925"/>
  </r>
  <r>
    <x v="0"/>
    <x v="2"/>
    <x v="0"/>
    <m/>
    <n v="0.21636759108210984"/>
  </r>
  <r>
    <x v="2"/>
    <x v="0"/>
    <x v="0"/>
    <s v="FSDUpdate"/>
    <n v="0.21208106001558846"/>
  </r>
  <r>
    <x v="2"/>
    <x v="0"/>
    <x v="0"/>
    <m/>
    <n v="0.20871010638297871"/>
  </r>
  <r>
    <x v="2"/>
    <x v="0"/>
    <x v="0"/>
    <s v="FSDUpdate"/>
    <n v="0.20868152274837512"/>
  </r>
  <r>
    <x v="0"/>
    <x v="0"/>
    <x v="0"/>
    <s v="ModelYCampaign"/>
    <n v="0.20675990675990677"/>
  </r>
  <r>
    <x v="1"/>
    <x v="0"/>
    <x v="0"/>
    <m/>
    <n v="0.20416333066453163"/>
  </r>
  <r>
    <x v="0"/>
    <x v="0"/>
    <x v="0"/>
    <s v="SustainabilityDrive"/>
    <n v="0.20357370772176134"/>
  </r>
  <r>
    <x v="0"/>
    <x v="0"/>
    <x v="0"/>
    <s v="ModelYCampaign"/>
    <n v="0.2023049153013052"/>
  </r>
  <r>
    <x v="1"/>
    <x v="0"/>
    <x v="0"/>
    <s v="ModelYCampaign"/>
    <n v="0.2015852613538989"/>
  </r>
  <r>
    <x v="0"/>
    <x v="0"/>
    <x v="0"/>
    <s v="SustainabilityDrive"/>
    <n v="0.19864505202032423"/>
  </r>
  <r>
    <x v="1"/>
    <x v="0"/>
    <x v="0"/>
    <s v="FSDUpdate"/>
    <n v="0.19847328244274809"/>
  </r>
  <r>
    <x v="0"/>
    <x v="0"/>
    <x v="0"/>
    <s v="SustainabilityDrive"/>
    <n v="0.19511518179295032"/>
  </r>
  <r>
    <x v="2"/>
    <x v="0"/>
    <x v="0"/>
    <s v="FSDUpdate"/>
    <n v="0.19484607062063539"/>
  </r>
  <r>
    <x v="0"/>
    <x v="0"/>
    <x v="0"/>
    <m/>
    <n v="0.19310344827586207"/>
  </r>
  <r>
    <x v="2"/>
    <x v="0"/>
    <x v="0"/>
    <s v="CybertruckLaunch"/>
    <n v="0.19156491900087783"/>
  </r>
  <r>
    <x v="0"/>
    <x v="0"/>
    <x v="0"/>
    <s v="CybertruckLaunch"/>
    <n v="0.19088381621305239"/>
  </r>
  <r>
    <x v="1"/>
    <x v="0"/>
    <x v="0"/>
    <s v="SustainabilityDrive"/>
    <n v="0.18806848582129482"/>
  </r>
  <r>
    <x v="2"/>
    <x v="0"/>
    <x v="0"/>
    <s v="SustainabilityDrive"/>
    <n v="0.18632075471698112"/>
  </r>
  <r>
    <x v="0"/>
    <x v="0"/>
    <x v="0"/>
    <s v="FSDUpdate"/>
    <n v="0.18519683938186141"/>
  </r>
  <r>
    <x v="2"/>
    <x v="0"/>
    <x v="0"/>
    <s v="SustainabilityDrive"/>
    <n v="0.18433235867446393"/>
  </r>
  <r>
    <x v="0"/>
    <x v="0"/>
    <x v="0"/>
    <s v="FSDUpdate"/>
    <n v="0.18248432325794406"/>
  </r>
  <r>
    <x v="1"/>
    <x v="0"/>
    <x v="0"/>
    <s v="ModelYCampaign"/>
    <n v="0.17954159592529711"/>
  </r>
  <r>
    <x v="1"/>
    <x v="0"/>
    <x v="0"/>
    <s v="FSDUpdate"/>
    <n v="0.17801355732390214"/>
  </r>
  <r>
    <x v="0"/>
    <x v="0"/>
    <x v="0"/>
    <s v="ModelYCampaign"/>
    <n v="0.17770337301587302"/>
  </r>
  <r>
    <x v="1"/>
    <x v="0"/>
    <x v="0"/>
    <s v="SustainabilityDrive"/>
    <n v="0.17743908486792079"/>
  </r>
  <r>
    <x v="2"/>
    <x v="0"/>
    <x v="0"/>
    <s v="FSDUpdate"/>
    <n v="0.17441662408448305"/>
  </r>
  <r>
    <x v="1"/>
    <x v="0"/>
    <x v="0"/>
    <m/>
    <n v="0.17291569632044715"/>
  </r>
  <r>
    <x v="2"/>
    <x v="0"/>
    <x v="0"/>
    <s v="SustainabilityDrive"/>
    <n v="0.17057291666666666"/>
  </r>
  <r>
    <x v="1"/>
    <x v="0"/>
    <x v="0"/>
    <s v="SustainabilityDrive"/>
    <n v="0.16888537906137185"/>
  </r>
  <r>
    <x v="0"/>
    <x v="0"/>
    <x v="0"/>
    <m/>
    <n v="0.16873144921925409"/>
  </r>
  <r>
    <x v="2"/>
    <x v="0"/>
    <x v="0"/>
    <s v="FSDUpdate"/>
    <n v="0.16843866371633656"/>
  </r>
  <r>
    <x v="1"/>
    <x v="0"/>
    <x v="0"/>
    <m/>
    <n v="0.16769515581610614"/>
  </r>
  <r>
    <x v="0"/>
    <x v="0"/>
    <x v="0"/>
    <s v="FSDUpdate"/>
    <n v="0.16754738655944859"/>
  </r>
  <r>
    <x v="2"/>
    <x v="0"/>
    <x v="0"/>
    <s v="FSDUpdate"/>
    <n v="0.16744313510550835"/>
  </r>
  <r>
    <x v="2"/>
    <x v="0"/>
    <x v="0"/>
    <m/>
    <n v="0.16683616863905326"/>
  </r>
  <r>
    <x v="2"/>
    <x v="3"/>
    <x v="1"/>
    <s v="ModelYCampaign"/>
    <n v="0.16540727459016394"/>
  </r>
  <r>
    <x v="2"/>
    <x v="0"/>
    <x v="0"/>
    <s v="ModelYCampaign"/>
    <n v="0.16510298716704411"/>
  </r>
  <r>
    <x v="0"/>
    <x v="3"/>
    <x v="1"/>
    <s v="FSDUpdate"/>
    <n v="0.1650782845473111"/>
  </r>
  <r>
    <x v="0"/>
    <x v="0"/>
    <x v="0"/>
    <m/>
    <n v="0.16118220597196831"/>
  </r>
  <r>
    <x v="2"/>
    <x v="0"/>
    <x v="0"/>
    <s v="FSDUpdate"/>
    <n v="0.16065573770491803"/>
  </r>
  <r>
    <x v="1"/>
    <x v="0"/>
    <x v="0"/>
    <m/>
    <n v="0.15989220750056141"/>
  </r>
  <r>
    <x v="2"/>
    <x v="0"/>
    <x v="0"/>
    <s v="FSDUpdate"/>
    <n v="0.15761129727142173"/>
  </r>
  <r>
    <x v="1"/>
    <x v="0"/>
    <x v="0"/>
    <s v="SustainabilityDrive"/>
    <n v="0.1569549774407219"/>
  </r>
  <r>
    <x v="0"/>
    <x v="4"/>
    <x v="0"/>
    <s v="ModelYCampaign"/>
    <n v="0.15571802706241816"/>
  </r>
  <r>
    <x v="1"/>
    <x v="0"/>
    <x v="0"/>
    <s v="ModelYCampaign"/>
    <n v="0.15405989502933004"/>
  </r>
  <r>
    <x v="1"/>
    <x v="2"/>
    <x v="0"/>
    <s v="SustainabilityDrive"/>
    <n v="0.15355188488042157"/>
  </r>
  <r>
    <x v="1"/>
    <x v="0"/>
    <x v="0"/>
    <m/>
    <n v="0.15339966832504145"/>
  </r>
  <r>
    <x v="1"/>
    <x v="0"/>
    <x v="0"/>
    <s v="ModelYCampaign"/>
    <n v="0.15283323095823095"/>
  </r>
  <r>
    <x v="0"/>
    <x v="0"/>
    <x v="0"/>
    <s v="SustainabilityDrive"/>
    <n v="0.15105033277870217"/>
  </r>
  <r>
    <x v="2"/>
    <x v="0"/>
    <x v="0"/>
    <m/>
    <n v="0.14521452145214522"/>
  </r>
  <r>
    <x v="0"/>
    <x v="0"/>
    <x v="0"/>
    <m/>
    <n v="0.1441326530612245"/>
  </r>
  <r>
    <x v="2"/>
    <x v="0"/>
    <x v="0"/>
    <s v="FSDUpdate"/>
    <n v="0.14348370927318296"/>
  </r>
  <r>
    <x v="2"/>
    <x v="0"/>
    <x v="0"/>
    <s v="CybertruckLaunch"/>
    <n v="0.14320716458262928"/>
  </r>
  <r>
    <x v="1"/>
    <x v="4"/>
    <x v="0"/>
    <s v="FSDUpdate"/>
    <n v="0.14316214319138981"/>
  </r>
  <r>
    <x v="1"/>
    <x v="0"/>
    <x v="0"/>
    <s v="CybertruckLaunch"/>
    <n v="0.14276618001546368"/>
  </r>
  <r>
    <x v="1"/>
    <x v="0"/>
    <x v="0"/>
    <s v="SustainabilityDrive"/>
    <n v="0.14265722032712325"/>
  </r>
  <r>
    <x v="1"/>
    <x v="0"/>
    <x v="0"/>
    <s v="FSDUpdate"/>
    <n v="0.14220299534507186"/>
  </r>
  <r>
    <x v="0"/>
    <x v="0"/>
    <x v="0"/>
    <s v="SustainabilityDrive"/>
    <n v="0.13989473684210527"/>
  </r>
  <r>
    <x v="2"/>
    <x v="0"/>
    <x v="0"/>
    <s v="FSDUpdate"/>
    <n v="0.13840458048129492"/>
  </r>
  <r>
    <x v="0"/>
    <x v="0"/>
    <x v="0"/>
    <m/>
    <n v="0.13809430512016718"/>
  </r>
  <r>
    <x v="1"/>
    <x v="0"/>
    <x v="0"/>
    <s v="FSDUpdate"/>
    <n v="0.13707250341997265"/>
  </r>
  <r>
    <x v="2"/>
    <x v="3"/>
    <x v="1"/>
    <s v="SustainabilityDrive"/>
    <n v="0.13667732704931829"/>
  </r>
  <r>
    <x v="0"/>
    <x v="0"/>
    <x v="0"/>
    <s v="CybertruckLaunch"/>
    <n v="0.13614307931570763"/>
  </r>
  <r>
    <x v="2"/>
    <x v="0"/>
    <x v="0"/>
    <s v="FSDUpdate"/>
    <n v="0.13599052880820836"/>
  </r>
  <r>
    <x v="1"/>
    <x v="0"/>
    <x v="0"/>
    <s v="SustainabilityDrive"/>
    <n v="0.13576158940397351"/>
  </r>
  <r>
    <x v="0"/>
    <x v="0"/>
    <x v="0"/>
    <m/>
    <n v="0.13517919809886983"/>
  </r>
  <r>
    <x v="1"/>
    <x v="0"/>
    <x v="0"/>
    <s v="FSDUpdate"/>
    <n v="0.13498547567175018"/>
  </r>
  <r>
    <x v="2"/>
    <x v="0"/>
    <x v="0"/>
    <s v="ModelYCampaign"/>
    <n v="0.13493953401503478"/>
  </r>
  <r>
    <x v="1"/>
    <x v="0"/>
    <x v="0"/>
    <m/>
    <n v="0.13387048227640017"/>
  </r>
  <r>
    <x v="1"/>
    <x v="0"/>
    <x v="0"/>
    <s v="FSDUpdate"/>
    <n v="0.13351302785265048"/>
  </r>
  <r>
    <x v="2"/>
    <x v="0"/>
    <x v="0"/>
    <s v="ModelYCampaign"/>
    <n v="0.13331166419019316"/>
  </r>
  <r>
    <x v="2"/>
    <x v="0"/>
    <x v="0"/>
    <s v="FSDUpdate"/>
    <n v="0.13106060606060607"/>
  </r>
  <r>
    <x v="2"/>
    <x v="2"/>
    <x v="2"/>
    <s v="ModelYCampaign"/>
    <n v="0.12943516308671441"/>
  </r>
  <r>
    <x v="2"/>
    <x v="0"/>
    <x v="0"/>
    <s v="CybertruckLaunch"/>
    <n v="0.12942500000000001"/>
  </r>
  <r>
    <x v="2"/>
    <x v="0"/>
    <x v="0"/>
    <s v="FSDUpdate"/>
    <n v="0.12936184657162253"/>
  </r>
  <r>
    <x v="2"/>
    <x v="0"/>
    <x v="0"/>
    <s v="CybertruckLaunch"/>
    <n v="0.12896028558679162"/>
  </r>
  <r>
    <x v="2"/>
    <x v="0"/>
    <x v="0"/>
    <s v="FSDUpdate"/>
    <n v="0.12885405960945528"/>
  </r>
  <r>
    <x v="1"/>
    <x v="0"/>
    <x v="0"/>
    <s v="FSDUpdate"/>
    <n v="0.1283706906360223"/>
  </r>
  <r>
    <x v="1"/>
    <x v="0"/>
    <x v="0"/>
    <s v="CybertruckLaunch"/>
    <n v="0.12781331438047855"/>
  </r>
  <r>
    <x v="1"/>
    <x v="0"/>
    <x v="0"/>
    <s v="SustainabilityDrive"/>
    <n v="0.12577012959422137"/>
  </r>
  <r>
    <x v="0"/>
    <x v="0"/>
    <x v="0"/>
    <s v="FSDUpdate"/>
    <n v="0.12575841147269717"/>
  </r>
  <r>
    <x v="2"/>
    <x v="0"/>
    <x v="0"/>
    <m/>
    <n v="0.12537731780940059"/>
  </r>
  <r>
    <x v="0"/>
    <x v="0"/>
    <x v="0"/>
    <s v="CybertruckLaunch"/>
    <n v="0.12490884163239112"/>
  </r>
  <r>
    <x v="0"/>
    <x v="0"/>
    <x v="0"/>
    <s v="CybertruckLaunch"/>
    <n v="0.12428384068475185"/>
  </r>
  <r>
    <x v="1"/>
    <x v="2"/>
    <x v="0"/>
    <m/>
    <n v="0.12353896103896105"/>
  </r>
  <r>
    <x v="1"/>
    <x v="0"/>
    <x v="0"/>
    <s v="ModelYCampaign"/>
    <n v="0.123309241094476"/>
  </r>
  <r>
    <x v="0"/>
    <x v="0"/>
    <x v="0"/>
    <s v="ModelYCampaign"/>
    <n v="0.12277759141227776"/>
  </r>
  <r>
    <x v="0"/>
    <x v="0"/>
    <x v="0"/>
    <s v="CybertruckLaunch"/>
    <n v="0.12232704402515723"/>
  </r>
  <r>
    <x v="1"/>
    <x v="0"/>
    <x v="0"/>
    <s v="SustainabilityDrive"/>
    <n v="0.12131237937689551"/>
  </r>
  <r>
    <x v="2"/>
    <x v="0"/>
    <x v="0"/>
    <s v="SustainabilityDrive"/>
    <n v="0.11996283514733209"/>
  </r>
  <r>
    <x v="1"/>
    <x v="0"/>
    <x v="0"/>
    <s v="ModelYCampaign"/>
    <n v="0.1199202926956749"/>
  </r>
  <r>
    <x v="0"/>
    <x v="0"/>
    <x v="0"/>
    <m/>
    <n v="0.11990720603160794"/>
  </r>
  <r>
    <x v="2"/>
    <x v="5"/>
    <x v="3"/>
    <m/>
    <n v="0.11879910213243547"/>
  </r>
  <r>
    <x v="2"/>
    <x v="0"/>
    <x v="0"/>
    <s v="ModelYCampaign"/>
    <n v="0.11861662987490802"/>
  </r>
  <r>
    <x v="0"/>
    <x v="0"/>
    <x v="0"/>
    <s v="SustainabilityDrive"/>
    <n v="0.11792317271769326"/>
  </r>
  <r>
    <x v="2"/>
    <x v="0"/>
    <x v="0"/>
    <m/>
    <n v="0.11619462599854757"/>
  </r>
  <r>
    <x v="2"/>
    <x v="0"/>
    <x v="0"/>
    <s v="SustainabilityDrive"/>
    <n v="0.11571269132653061"/>
  </r>
  <r>
    <x v="1"/>
    <x v="0"/>
    <x v="0"/>
    <s v="SustainabilityDrive"/>
    <n v="0.11508145034156594"/>
  </r>
  <r>
    <x v="2"/>
    <x v="0"/>
    <x v="0"/>
    <s v="ModelYCampaign"/>
    <n v="0.11489268506351293"/>
  </r>
  <r>
    <x v="1"/>
    <x v="0"/>
    <x v="0"/>
    <s v="SustainabilityDrive"/>
    <n v="0.11465952405480581"/>
  </r>
  <r>
    <x v="0"/>
    <x v="0"/>
    <x v="0"/>
    <s v="CybertruckLaunch"/>
    <n v="0.11369088028965829"/>
  </r>
  <r>
    <x v="1"/>
    <x v="0"/>
    <x v="0"/>
    <s v="CybertruckLaunch"/>
    <n v="0.11307081114118571"/>
  </r>
  <r>
    <x v="2"/>
    <x v="0"/>
    <x v="0"/>
    <s v="SustainabilityDrive"/>
    <n v="0.11238095238095239"/>
  </r>
  <r>
    <x v="2"/>
    <x v="0"/>
    <x v="0"/>
    <s v="FSDUpdate"/>
    <n v="0.11232349165596919"/>
  </r>
  <r>
    <x v="2"/>
    <x v="4"/>
    <x v="0"/>
    <s v="CybertruckLaunch"/>
    <n v="0.11143487163332809"/>
  </r>
  <r>
    <x v="0"/>
    <x v="0"/>
    <x v="0"/>
    <s v="SustainabilityDrive"/>
    <n v="0.11114018842096787"/>
  </r>
  <r>
    <x v="0"/>
    <x v="0"/>
    <x v="0"/>
    <s v="CybertruckLaunch"/>
    <n v="0.10977802753582468"/>
  </r>
  <r>
    <x v="2"/>
    <x v="0"/>
    <x v="0"/>
    <s v="ModelYCampaign"/>
    <n v="0.1095786671562328"/>
  </r>
  <r>
    <x v="2"/>
    <x v="0"/>
    <x v="0"/>
    <s v="ModelYCampaign"/>
    <n v="0.10793717277486911"/>
  </r>
  <r>
    <x v="0"/>
    <x v="0"/>
    <x v="0"/>
    <s v="CybertruckLaunch"/>
    <n v="0.10768685795253277"/>
  </r>
  <r>
    <x v="2"/>
    <x v="0"/>
    <x v="0"/>
    <s v="FSDUpdate"/>
    <n v="0.1071650124069479"/>
  </r>
  <r>
    <x v="1"/>
    <x v="0"/>
    <x v="0"/>
    <s v="SustainabilityDrive"/>
    <n v="0.10617801791554102"/>
  </r>
  <r>
    <x v="1"/>
    <x v="4"/>
    <x v="0"/>
    <s v="SustainabilityDrive"/>
    <n v="0.1043848167539267"/>
  </r>
  <r>
    <x v="0"/>
    <x v="0"/>
    <x v="0"/>
    <s v="SustainabilityDrive"/>
    <n v="0.10340359564080613"/>
  </r>
  <r>
    <x v="2"/>
    <x v="0"/>
    <x v="0"/>
    <m/>
    <n v="0.10339256865912763"/>
  </r>
  <r>
    <x v="2"/>
    <x v="0"/>
    <x v="0"/>
    <s v="CybertruckLaunch"/>
    <n v="0.10297222222222223"/>
  </r>
  <r>
    <x v="1"/>
    <x v="0"/>
    <x v="0"/>
    <s v="SustainabilityDrive"/>
    <n v="0.10132030477519921"/>
  </r>
  <r>
    <x v="1"/>
    <x v="0"/>
    <x v="0"/>
    <s v="FSDUpdate"/>
    <n v="0.10086880280567512"/>
  </r>
  <r>
    <x v="1"/>
    <x v="0"/>
    <x v="0"/>
    <s v="SustainabilityDrive"/>
    <n v="0.10034235916588857"/>
  </r>
  <r>
    <x v="1"/>
    <x v="0"/>
    <x v="0"/>
    <s v="ModelYCampaign"/>
    <n v="0.10005698005698006"/>
  </r>
  <r>
    <x v="2"/>
    <x v="0"/>
    <x v="0"/>
    <m/>
    <n v="9.9829463465827106E-2"/>
  </r>
  <r>
    <x v="0"/>
    <x v="0"/>
    <x v="0"/>
    <s v="ModelYCampaign"/>
    <n v="9.9632815002833983E-2"/>
  </r>
  <r>
    <x v="2"/>
    <x v="0"/>
    <x v="0"/>
    <s v="FSDUpdate"/>
    <n v="9.9578134817341346E-2"/>
  </r>
  <r>
    <x v="0"/>
    <x v="0"/>
    <x v="0"/>
    <s v="FSDUpdate"/>
    <n v="9.9255211647142488E-2"/>
  </r>
  <r>
    <x v="2"/>
    <x v="0"/>
    <x v="0"/>
    <m/>
    <n v="9.859917557465242E-2"/>
  </r>
  <r>
    <x v="1"/>
    <x v="0"/>
    <x v="0"/>
    <m/>
    <n v="9.8558100084817649E-2"/>
  </r>
  <r>
    <x v="2"/>
    <x v="0"/>
    <x v="0"/>
    <s v="ModelYCampaign"/>
    <n v="9.8068107400130972E-2"/>
  </r>
  <r>
    <x v="0"/>
    <x v="0"/>
    <x v="0"/>
    <s v="SustainabilityDrive"/>
    <n v="9.7700431949264685E-2"/>
  </r>
  <r>
    <x v="2"/>
    <x v="0"/>
    <x v="0"/>
    <s v="SustainabilityDrive"/>
    <n v="9.7001272669424113E-2"/>
  </r>
  <r>
    <x v="0"/>
    <x v="0"/>
    <x v="0"/>
    <m/>
    <n v="9.5290736237010829E-2"/>
  </r>
  <r>
    <x v="1"/>
    <x v="0"/>
    <x v="0"/>
    <s v="FSDUpdate"/>
    <n v="9.4413295955146179E-2"/>
  </r>
  <r>
    <x v="0"/>
    <x v="0"/>
    <x v="0"/>
    <s v="SustainabilityDrive"/>
    <n v="9.4235532537716729E-2"/>
  </r>
  <r>
    <x v="0"/>
    <x v="0"/>
    <x v="0"/>
    <s v="CybertruckLaunch"/>
    <n v="9.422796795338674E-2"/>
  </r>
  <r>
    <x v="2"/>
    <x v="0"/>
    <x v="0"/>
    <s v="FSDUpdate"/>
    <n v="9.3421052631578946E-2"/>
  </r>
  <r>
    <x v="0"/>
    <x v="0"/>
    <x v="0"/>
    <m/>
    <n v="9.2726081258191345E-2"/>
  </r>
  <r>
    <x v="0"/>
    <x v="0"/>
    <x v="0"/>
    <m/>
    <n v="9.2298980747451867E-2"/>
  </r>
  <r>
    <x v="0"/>
    <x v="0"/>
    <x v="0"/>
    <s v="SustainabilityDrive"/>
    <n v="9.1897770527460579E-2"/>
  </r>
  <r>
    <x v="1"/>
    <x v="0"/>
    <x v="0"/>
    <s v="FSDUpdate"/>
    <n v="9.1365878393951966E-2"/>
  </r>
  <r>
    <x v="1"/>
    <x v="0"/>
    <x v="0"/>
    <m/>
    <n v="9.1137810638734856E-2"/>
  </r>
  <r>
    <x v="2"/>
    <x v="2"/>
    <x v="0"/>
    <s v="CybertruckLaunch"/>
    <n v="9.0759753593429152E-2"/>
  </r>
  <r>
    <x v="0"/>
    <x v="0"/>
    <x v="0"/>
    <s v="CybertruckLaunch"/>
    <n v="9.0606816292601824E-2"/>
  </r>
  <r>
    <x v="1"/>
    <x v="0"/>
    <x v="0"/>
    <s v="CybertruckLaunch"/>
    <n v="9.023070704558174E-2"/>
  </r>
  <r>
    <x v="2"/>
    <x v="0"/>
    <x v="0"/>
    <s v="ModelYCampaign"/>
    <n v="8.9730807577268201E-2"/>
  </r>
  <r>
    <x v="0"/>
    <x v="0"/>
    <x v="0"/>
    <s v="SustainabilityDrive"/>
    <n v="8.9577656675749323E-2"/>
  </r>
  <r>
    <x v="0"/>
    <x v="0"/>
    <x v="0"/>
    <s v="ModelYCampaign"/>
    <n v="8.860696018453515E-2"/>
  </r>
  <r>
    <x v="0"/>
    <x v="0"/>
    <x v="0"/>
    <s v="ModelYCampaign"/>
    <n v="8.837126600284495E-2"/>
  </r>
  <r>
    <x v="1"/>
    <x v="0"/>
    <x v="0"/>
    <s v="ModelYCampaign"/>
    <n v="8.8019732205778717E-2"/>
  </r>
  <r>
    <x v="1"/>
    <x v="5"/>
    <x v="3"/>
    <s v="FSDUpdate"/>
    <n v="8.7752275425405618E-2"/>
  </r>
  <r>
    <x v="0"/>
    <x v="0"/>
    <x v="0"/>
    <s v="ModelYCampaign"/>
    <n v="8.7733440816874911E-2"/>
  </r>
  <r>
    <x v="1"/>
    <x v="2"/>
    <x v="0"/>
    <s v="ModelYCampaign"/>
    <n v="8.7668609086629767E-2"/>
  </r>
  <r>
    <x v="0"/>
    <x v="0"/>
    <x v="0"/>
    <m/>
    <n v="8.6897539284772202E-2"/>
  </r>
  <r>
    <x v="2"/>
    <x v="0"/>
    <x v="0"/>
    <s v="SustainabilityDrive"/>
    <n v="8.6737756939878216E-2"/>
  </r>
  <r>
    <x v="2"/>
    <x v="0"/>
    <x v="0"/>
    <m/>
    <n v="8.6630570595585168E-2"/>
  </r>
  <r>
    <x v="1"/>
    <x v="0"/>
    <x v="0"/>
    <s v="ModelYCampaign"/>
    <n v="8.6537809426924378E-2"/>
  </r>
  <r>
    <x v="0"/>
    <x v="3"/>
    <x v="1"/>
    <s v="FSDUpdate"/>
    <n v="8.6293505561535699E-2"/>
  </r>
  <r>
    <x v="2"/>
    <x v="0"/>
    <x v="0"/>
    <s v="CybertruckLaunch"/>
    <n v="8.5734265734265735E-2"/>
  </r>
  <r>
    <x v="1"/>
    <x v="0"/>
    <x v="0"/>
    <s v="SustainabilityDrive"/>
    <n v="8.5718409468138843E-2"/>
  </r>
  <r>
    <x v="2"/>
    <x v="3"/>
    <x v="1"/>
    <s v="FSDUpdate"/>
    <n v="8.558620689655172E-2"/>
  </r>
  <r>
    <x v="1"/>
    <x v="0"/>
    <x v="0"/>
    <s v="ModelYCampaign"/>
    <n v="8.5520696919660646E-2"/>
  </r>
  <r>
    <x v="2"/>
    <x v="0"/>
    <x v="0"/>
    <s v="ModelYCampaign"/>
    <n v="8.4946236559139784E-2"/>
  </r>
  <r>
    <x v="0"/>
    <x v="0"/>
    <x v="0"/>
    <s v="FSDUpdate"/>
    <n v="8.4862714173059003E-2"/>
  </r>
  <r>
    <x v="0"/>
    <x v="0"/>
    <x v="0"/>
    <s v="CybertruckLaunch"/>
    <n v="8.4203612479474554E-2"/>
  </r>
  <r>
    <x v="0"/>
    <x v="0"/>
    <x v="0"/>
    <s v="CybertruckLaunch"/>
    <n v="8.4062694239588759E-2"/>
  </r>
  <r>
    <x v="0"/>
    <x v="0"/>
    <x v="0"/>
    <s v="SustainabilityDrive"/>
    <n v="8.3921940869371006E-2"/>
  </r>
  <r>
    <x v="0"/>
    <x v="0"/>
    <x v="0"/>
    <s v="FSDUpdate"/>
    <n v="8.3726921425504502E-2"/>
  </r>
  <r>
    <x v="1"/>
    <x v="5"/>
    <x v="3"/>
    <s v="CybertruckLaunch"/>
    <n v="8.3539958039290485E-2"/>
  </r>
  <r>
    <x v="0"/>
    <x v="3"/>
    <x v="1"/>
    <s v="SustainabilityDrive"/>
    <n v="8.3274853801169585E-2"/>
  </r>
  <r>
    <x v="0"/>
    <x v="0"/>
    <x v="0"/>
    <s v="CybertruckLaunch"/>
    <n v="8.2835359571399134E-2"/>
  </r>
  <r>
    <x v="2"/>
    <x v="2"/>
    <x v="0"/>
    <s v="SustainabilityDrive"/>
    <n v="8.2753164556962022E-2"/>
  </r>
  <r>
    <x v="0"/>
    <x v="0"/>
    <x v="0"/>
    <s v="SustainabilityDrive"/>
    <n v="8.21914819340199E-2"/>
  </r>
  <r>
    <x v="0"/>
    <x v="0"/>
    <x v="0"/>
    <s v="FSDUpdate"/>
    <n v="8.2108498129342594E-2"/>
  </r>
  <r>
    <x v="2"/>
    <x v="0"/>
    <x v="0"/>
    <s v="SustainabilityDrive"/>
    <n v="8.2075471698113203E-2"/>
  </r>
  <r>
    <x v="2"/>
    <x v="0"/>
    <x v="0"/>
    <s v="FSDUpdate"/>
    <n v="8.2047718322909427E-2"/>
  </r>
  <r>
    <x v="0"/>
    <x v="0"/>
    <x v="0"/>
    <s v="CybertruckLaunch"/>
    <n v="8.1808097615085965E-2"/>
  </r>
  <r>
    <x v="1"/>
    <x v="0"/>
    <x v="0"/>
    <s v="SustainabilityDrive"/>
    <n v="8.1177520071364848E-2"/>
  </r>
  <r>
    <x v="1"/>
    <x v="0"/>
    <x v="0"/>
    <s v="CybertruckLaunch"/>
    <n v="8.0862831858407078E-2"/>
  </r>
  <r>
    <x v="0"/>
    <x v="0"/>
    <x v="0"/>
    <s v="ModelYCampaign"/>
    <n v="8.0565268065268064E-2"/>
  </r>
  <r>
    <x v="1"/>
    <x v="0"/>
    <x v="0"/>
    <s v="SustainabilityDrive"/>
    <n v="8.0294585987261149E-2"/>
  </r>
  <r>
    <x v="2"/>
    <x v="0"/>
    <x v="0"/>
    <s v="FSDUpdate"/>
    <n v="8.0158206987475278E-2"/>
  </r>
  <r>
    <x v="0"/>
    <x v="5"/>
    <x v="3"/>
    <s v="ModelYCampaign"/>
    <n v="7.9915048543689318E-2"/>
  </r>
  <r>
    <x v="0"/>
    <x v="0"/>
    <x v="0"/>
    <s v="SustainabilityDrive"/>
    <n v="7.984956452889945E-2"/>
  </r>
  <r>
    <x v="1"/>
    <x v="0"/>
    <x v="0"/>
    <s v="SustainabilityDrive"/>
    <n v="7.8849599245638849E-2"/>
  </r>
  <r>
    <x v="2"/>
    <x v="0"/>
    <x v="0"/>
    <s v="ModelYCampaign"/>
    <n v="7.8689839572192513E-2"/>
  </r>
  <r>
    <x v="2"/>
    <x v="0"/>
    <x v="0"/>
    <m/>
    <n v="7.7533348349475686E-2"/>
  </r>
  <r>
    <x v="0"/>
    <x v="0"/>
    <x v="0"/>
    <s v="FSDUpdate"/>
    <n v="7.7512577512577507E-2"/>
  </r>
  <r>
    <x v="0"/>
    <x v="0"/>
    <x v="0"/>
    <s v="CybertruckLaunch"/>
    <n v="7.7291421856639245E-2"/>
  </r>
  <r>
    <x v="2"/>
    <x v="0"/>
    <x v="0"/>
    <s v="SustainabilityDrive"/>
    <n v="7.7249552156538517E-2"/>
  </r>
  <r>
    <x v="1"/>
    <x v="2"/>
    <x v="0"/>
    <s v="ModelYCampaign"/>
    <n v="7.6867995018679955E-2"/>
  </r>
  <r>
    <x v="0"/>
    <x v="0"/>
    <x v="0"/>
    <s v="ModelYCampaign"/>
    <n v="7.6523535487678915E-2"/>
  </r>
  <r>
    <x v="1"/>
    <x v="1"/>
    <x v="0"/>
    <s v="ModelYCampaign"/>
    <n v="7.6097681302417369E-2"/>
  </r>
  <r>
    <x v="1"/>
    <x v="0"/>
    <x v="0"/>
    <m/>
    <n v="7.5968222442899705E-2"/>
  </r>
  <r>
    <x v="0"/>
    <x v="0"/>
    <x v="0"/>
    <s v="CybertruckLaunch"/>
    <n v="7.5868578363072495E-2"/>
  </r>
  <r>
    <x v="2"/>
    <x v="0"/>
    <x v="0"/>
    <s v="FSDUpdate"/>
    <n v="7.5843713789107758E-2"/>
  </r>
  <r>
    <x v="1"/>
    <x v="0"/>
    <x v="0"/>
    <m/>
    <n v="7.5280481001673588E-2"/>
  </r>
  <r>
    <x v="2"/>
    <x v="0"/>
    <x v="0"/>
    <s v="CybertruckLaunch"/>
    <n v="7.5229902106199939E-2"/>
  </r>
  <r>
    <x v="0"/>
    <x v="0"/>
    <x v="0"/>
    <s v="CybertruckLaunch"/>
    <n v="7.412002573292896E-2"/>
  </r>
  <r>
    <x v="1"/>
    <x v="0"/>
    <x v="0"/>
    <s v="ModelYCampaign"/>
    <n v="7.4071349760941527E-2"/>
  </r>
  <r>
    <x v="2"/>
    <x v="0"/>
    <x v="0"/>
    <s v="FSDUpdate"/>
    <n v="7.3707865168539333E-2"/>
  </r>
  <r>
    <x v="1"/>
    <x v="0"/>
    <x v="0"/>
    <m/>
    <n v="7.349527665317139E-2"/>
  </r>
  <r>
    <x v="2"/>
    <x v="0"/>
    <x v="0"/>
    <m/>
    <n v="7.3170731707317069E-2"/>
  </r>
  <r>
    <x v="2"/>
    <x v="0"/>
    <x v="0"/>
    <m/>
    <n v="7.3018902217375503E-2"/>
  </r>
  <r>
    <x v="2"/>
    <x v="0"/>
    <x v="0"/>
    <s v="SustainabilityDrive"/>
    <n v="7.2969143576826198E-2"/>
  </r>
  <r>
    <x v="0"/>
    <x v="0"/>
    <x v="0"/>
    <s v="FSDUpdate"/>
    <n v="7.2739802071170159E-2"/>
  </r>
  <r>
    <x v="2"/>
    <x v="0"/>
    <x v="0"/>
    <s v="SustainabilityDrive"/>
    <n v="7.2579365079365077E-2"/>
  </r>
  <r>
    <x v="1"/>
    <x v="0"/>
    <x v="0"/>
    <s v="CybertruckLaunch"/>
    <n v="7.2503306878306875E-2"/>
  </r>
  <r>
    <x v="1"/>
    <x v="0"/>
    <x v="0"/>
    <m/>
    <n v="7.2126493695121141E-2"/>
  </r>
  <r>
    <x v="0"/>
    <x v="0"/>
    <x v="0"/>
    <s v="ModelYCampaign"/>
    <n v="7.2116777745580993E-2"/>
  </r>
  <r>
    <x v="2"/>
    <x v="0"/>
    <x v="0"/>
    <s v="FSDUpdate"/>
    <n v="7.2070332803659209E-2"/>
  </r>
  <r>
    <x v="2"/>
    <x v="0"/>
    <x v="0"/>
    <s v="FSDUpdate"/>
    <n v="7.2000119875329657E-2"/>
  </r>
  <r>
    <x v="1"/>
    <x v="0"/>
    <x v="0"/>
    <s v="ModelYCampaign"/>
    <n v="7.198635172059864E-2"/>
  </r>
  <r>
    <x v="0"/>
    <x v="0"/>
    <x v="0"/>
    <s v="SustainabilityDrive"/>
    <n v="7.1956537279290869E-2"/>
  </r>
  <r>
    <x v="1"/>
    <x v="0"/>
    <x v="0"/>
    <s v="SustainabilityDrive"/>
    <n v="7.172350922350923E-2"/>
  </r>
  <r>
    <x v="2"/>
    <x v="0"/>
    <x v="0"/>
    <s v="SustainabilityDrive"/>
    <n v="7.1501685934489398E-2"/>
  </r>
  <r>
    <x v="1"/>
    <x v="0"/>
    <x v="0"/>
    <s v="CybertruckLaunch"/>
    <n v="7.1133744304476013E-2"/>
  </r>
  <r>
    <x v="1"/>
    <x v="0"/>
    <x v="0"/>
    <s v="SustainabilityDrive"/>
    <n v="7.0822181933293038E-2"/>
  </r>
  <r>
    <x v="1"/>
    <x v="0"/>
    <x v="0"/>
    <s v="FSDUpdate"/>
    <n v="7.055421038471886E-2"/>
  </r>
  <r>
    <x v="1"/>
    <x v="0"/>
    <x v="0"/>
    <s v="ModelYCampaign"/>
    <n v="7.0272020725388601E-2"/>
  </r>
  <r>
    <x v="2"/>
    <x v="0"/>
    <x v="0"/>
    <s v="SustainabilityDrive"/>
    <n v="6.9438087973557078E-2"/>
  </r>
  <r>
    <x v="2"/>
    <x v="0"/>
    <x v="0"/>
    <s v="FSDUpdate"/>
    <n v="6.9311459413307311E-2"/>
  </r>
  <r>
    <x v="1"/>
    <x v="0"/>
    <x v="0"/>
    <s v="FSDUpdate"/>
    <n v="6.8655003457763777E-2"/>
  </r>
  <r>
    <x v="2"/>
    <x v="0"/>
    <x v="0"/>
    <s v="SustainabilityDrive"/>
    <n v="6.8108806480899509E-2"/>
  </r>
  <r>
    <x v="2"/>
    <x v="0"/>
    <x v="0"/>
    <s v="FSDUpdate"/>
    <n v="6.800325430032543E-2"/>
  </r>
  <r>
    <x v="2"/>
    <x v="0"/>
    <x v="0"/>
    <s v="CybertruckLaunch"/>
    <n v="6.7234398994834563E-2"/>
  </r>
  <r>
    <x v="1"/>
    <x v="0"/>
    <x v="0"/>
    <s v="FSDUpdate"/>
    <n v="6.7103868574456813E-2"/>
  </r>
  <r>
    <x v="0"/>
    <x v="3"/>
    <x v="0"/>
    <s v="CybertruckLaunch"/>
    <n v="6.5617093055946027E-2"/>
  </r>
  <r>
    <x v="0"/>
    <x v="1"/>
    <x v="0"/>
    <s v="SustainabilityDrive"/>
    <n v="6.5515821264328367E-2"/>
  </r>
  <r>
    <x v="0"/>
    <x v="0"/>
    <x v="0"/>
    <s v="SustainabilityDrive"/>
    <n v="6.5455787978772245E-2"/>
  </r>
  <r>
    <x v="0"/>
    <x v="0"/>
    <x v="0"/>
    <s v="CybertruckLaunch"/>
    <n v="6.4884520656164318E-2"/>
  </r>
  <r>
    <x v="2"/>
    <x v="0"/>
    <x v="0"/>
    <s v="SustainabilityDrive"/>
    <n v="6.461481657304112E-2"/>
  </r>
  <r>
    <x v="2"/>
    <x v="0"/>
    <x v="0"/>
    <s v="SustainabilityDrive"/>
    <n v="6.4265122330790625E-2"/>
  </r>
  <r>
    <x v="2"/>
    <x v="0"/>
    <x v="0"/>
    <m/>
    <n v="6.3947934081681396E-2"/>
  </r>
  <r>
    <x v="1"/>
    <x v="0"/>
    <x v="0"/>
    <s v="CybertruckLaunch"/>
    <n v="6.3809622724794221E-2"/>
  </r>
  <r>
    <x v="0"/>
    <x v="0"/>
    <x v="0"/>
    <s v="FSDUpdate"/>
    <n v="6.3749764195434822E-2"/>
  </r>
  <r>
    <x v="1"/>
    <x v="0"/>
    <x v="0"/>
    <s v="SustainabilityDrive"/>
    <n v="6.3713620488940623E-2"/>
  </r>
  <r>
    <x v="0"/>
    <x v="0"/>
    <x v="0"/>
    <s v="ModelYCampaign"/>
    <n v="6.3118551273952411E-2"/>
  </r>
  <r>
    <x v="1"/>
    <x v="0"/>
    <x v="0"/>
    <m/>
    <n v="6.2603126356925748E-2"/>
  </r>
  <r>
    <x v="1"/>
    <x v="0"/>
    <x v="0"/>
    <s v="ModelYCampaign"/>
    <n v="6.246991874522239E-2"/>
  </r>
  <r>
    <x v="1"/>
    <x v="0"/>
    <x v="0"/>
    <m/>
    <n v="6.2467323109097243E-2"/>
  </r>
  <r>
    <x v="1"/>
    <x v="2"/>
    <x v="0"/>
    <s v="SustainabilityDrive"/>
    <n v="6.2150491965739366E-2"/>
  </r>
  <r>
    <x v="1"/>
    <x v="0"/>
    <x v="0"/>
    <m/>
    <n v="6.2129685107516146E-2"/>
  </r>
  <r>
    <x v="1"/>
    <x v="0"/>
    <x v="0"/>
    <s v="ModelYCampaign"/>
    <n v="5.9928644240570844E-2"/>
  </r>
  <r>
    <x v="0"/>
    <x v="0"/>
    <x v="0"/>
    <m/>
    <n v="5.9496567505720827E-2"/>
  </r>
  <r>
    <x v="2"/>
    <x v="0"/>
    <x v="0"/>
    <s v="CybertruckLaunch"/>
    <n v="5.941358024691358E-2"/>
  </r>
  <r>
    <x v="1"/>
    <x v="4"/>
    <x v="0"/>
    <s v="SustainabilityDrive"/>
    <n v="5.9387824897400819E-2"/>
  </r>
  <r>
    <x v="1"/>
    <x v="0"/>
    <x v="0"/>
    <s v="FSDUpdate"/>
    <n v="5.8563792702765516E-2"/>
  </r>
  <r>
    <x v="0"/>
    <x v="0"/>
    <x v="0"/>
    <s v="ModelYCampaign"/>
    <n v="5.8316766070245198E-2"/>
  </r>
  <r>
    <x v="2"/>
    <x v="0"/>
    <x v="0"/>
    <s v="ModelYCampaign"/>
    <n v="5.8243321401216137E-2"/>
  </r>
  <r>
    <x v="0"/>
    <x v="0"/>
    <x v="0"/>
    <s v="ModelYCampaign"/>
    <n v="5.7936488444630008E-2"/>
  </r>
  <r>
    <x v="0"/>
    <x v="0"/>
    <x v="0"/>
    <m/>
    <n v="5.7655717106444085E-2"/>
  </r>
  <r>
    <x v="2"/>
    <x v="0"/>
    <x v="0"/>
    <s v="CybertruckLaunch"/>
    <n v="5.7332570758993957E-2"/>
  </r>
  <r>
    <x v="0"/>
    <x v="0"/>
    <x v="0"/>
    <m/>
    <n v="5.6653298485940883E-2"/>
  </r>
  <r>
    <x v="1"/>
    <x v="0"/>
    <x v="0"/>
    <s v="SustainabilityDrive"/>
    <n v="5.6416400425985093E-2"/>
  </r>
  <r>
    <x v="2"/>
    <x v="0"/>
    <x v="0"/>
    <m/>
    <n v="5.5909322465613857E-2"/>
  </r>
  <r>
    <x v="1"/>
    <x v="0"/>
    <x v="0"/>
    <s v="FSDUpdate"/>
    <n v="5.5531494209584788E-2"/>
  </r>
  <r>
    <x v="1"/>
    <x v="0"/>
    <x v="0"/>
    <s v="CybertruckLaunch"/>
    <n v="5.4081095313322801E-2"/>
  </r>
  <r>
    <x v="2"/>
    <x v="0"/>
    <x v="0"/>
    <s v="FSDUpdate"/>
    <n v="5.2551586421122697E-2"/>
  </r>
  <r>
    <x v="3"/>
    <x v="0"/>
    <x v="0"/>
    <m/>
    <m/>
  </r>
  <r>
    <x v="3"/>
    <x v="0"/>
    <x v="0"/>
    <m/>
    <m/>
  </r>
  <r>
    <x v="3"/>
    <x v="0"/>
    <x v="0"/>
    <m/>
    <m/>
  </r>
  <r>
    <x v="3"/>
    <x v="0"/>
    <x v="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4">
  <r>
    <x v="0"/>
    <d v="2024-06-02T00:00:00"/>
    <x v="0"/>
    <s v="Check out our latest story on instagram!"/>
    <n v="84"/>
    <n v="897"/>
    <n v="85"/>
    <n v="588"/>
    <n v="8"/>
    <n v="12"/>
    <s v="#EVRevolution"/>
    <m/>
    <m/>
    <m/>
    <n v="1.8129251700680271"/>
  </r>
  <r>
    <x v="0"/>
    <d v="2025-04-15T00:00:00"/>
    <x v="1"/>
    <s v="Check out our latest reel on instagram!"/>
    <n v="103"/>
    <n v="770"/>
    <n v="19"/>
    <n v="1030"/>
    <n v="410"/>
    <n v="262"/>
    <s v="#TeslaCoInnovation"/>
    <m/>
    <m/>
    <s v="SustainabilityDrive"/>
    <n v="0.86601941747572819"/>
  </r>
  <r>
    <x v="1"/>
    <d v="2025-04-29T00:00:00"/>
    <x v="0"/>
    <s v="Check out our latest story on twitter!"/>
    <n v="249"/>
    <n v="592"/>
    <n v="230"/>
    <n v="1494"/>
    <n v="1044"/>
    <n v="201"/>
    <s v="#EVRevolution"/>
    <m/>
    <m/>
    <s v="SustainabilityDrive"/>
    <n v="0.7168674698795181"/>
  </r>
  <r>
    <x v="0"/>
    <d v="2024-11-07T00:00:00"/>
    <x v="2"/>
    <s v="Check out our latest video on instagram!"/>
    <n v="129"/>
    <n v="643"/>
    <n v="136"/>
    <n v="1290"/>
    <n v="839"/>
    <n v="238"/>
    <s v="#TeslaCoInnovation"/>
    <m/>
    <m/>
    <s v="SustainabilityDrive"/>
    <n v="0.70387596899224802"/>
  </r>
  <r>
    <x v="0"/>
    <d v="2025-01-17T00:00:00"/>
    <x v="1"/>
    <s v="Check out our latest reel on instagram!"/>
    <n v="142"/>
    <n v="784"/>
    <n v="183"/>
    <n v="1704"/>
    <n v="995"/>
    <n v="154"/>
    <s v="#FutureOfDriving"/>
    <m/>
    <m/>
    <s v="SustainabilityDrive"/>
    <n v="0.6508215962441315"/>
  </r>
  <r>
    <x v="1"/>
    <d v="2024-11-22T00:00:00"/>
    <x v="3"/>
    <s v="Check out our latest carousel on twitter!"/>
    <n v="53"/>
    <n v="81"/>
    <n v="379"/>
    <n v="954"/>
    <n v="7"/>
    <n v="148"/>
    <s v="#TeslaCoInnovation"/>
    <m/>
    <m/>
    <s v="FSDUpdate"/>
    <n v="0.53773584905660377"/>
  </r>
  <r>
    <x v="1"/>
    <d v="2025-01-30T00:00:00"/>
    <x v="4"/>
    <s v="Check out our latest image on twitter!"/>
    <n v="59"/>
    <n v="163"/>
    <n v="93"/>
    <n v="590"/>
    <n v="475"/>
    <n v="293"/>
    <s v="#TeslaCoInnovation"/>
    <m/>
    <m/>
    <s v="ModelYCampaign"/>
    <n v="0.53389830508474578"/>
  </r>
  <r>
    <x v="2"/>
    <d v="2024-10-02T00:00:00"/>
    <x v="3"/>
    <s v="Check out our latest carousel on youtube!"/>
    <n v="80"/>
    <n v="362"/>
    <n v="80"/>
    <n v="1040"/>
    <n v="349"/>
    <n v="117"/>
    <s v="#TeslaCoInnovation"/>
    <m/>
    <m/>
    <s v="FSDUpdate"/>
    <n v="0.50192307692307692"/>
  </r>
  <r>
    <x v="2"/>
    <d v="2025-02-19T00:00:00"/>
    <x v="4"/>
    <s v="Check out our latest image on youtube!"/>
    <n v="257"/>
    <n v="966"/>
    <n v="398"/>
    <n v="3341"/>
    <n v="2753"/>
    <n v="287"/>
    <s v="#FutureOfDriving"/>
    <m/>
    <m/>
    <s v="CybertruckLaunch"/>
    <n v="0.48518407662376534"/>
  </r>
  <r>
    <x v="3"/>
    <d v="2025-04-02T00:00:00"/>
    <x v="2"/>
    <s v="Check out our latest video on facebook!"/>
    <n v="199"/>
    <n v="772"/>
    <n v="400"/>
    <n v="3582"/>
    <n v="2988"/>
    <n v="43"/>
    <s v="#TeslaCoInnovation"/>
    <m/>
    <m/>
    <m/>
    <n v="0.38274706867671693"/>
  </r>
  <r>
    <x v="0"/>
    <d v="2024-12-23T00:00:00"/>
    <x v="4"/>
    <s v="Check out our latest image on instagram!"/>
    <n v="521"/>
    <n v="746"/>
    <n v="315"/>
    <n v="4168"/>
    <n v="3399"/>
    <n v="282"/>
    <s v="#FutureOfDriving"/>
    <m/>
    <m/>
    <s v="ModelYCampaign"/>
    <n v="0.37955854126679461"/>
  </r>
  <r>
    <x v="2"/>
    <d v="2025-02-24T00:00:00"/>
    <x v="3"/>
    <s v="Check out our latest carousel on youtube!"/>
    <n v="804"/>
    <n v="639"/>
    <n v="43"/>
    <n v="4020"/>
    <n v="3144"/>
    <n v="11"/>
    <s v="#EVRevolution"/>
    <s v="#BetterWithTesla"/>
    <m/>
    <m/>
    <n v="0.36965174129353234"/>
  </r>
  <r>
    <x v="1"/>
    <d v="2024-09-18T00:00:00"/>
    <x v="1"/>
    <s v="Check out our latest reel on twitter!"/>
    <n v="1000"/>
    <n v="978"/>
    <n v="162"/>
    <n v="6000"/>
    <n v="5221"/>
    <n v="223"/>
    <s v="#EVRevolution"/>
    <m/>
    <m/>
    <s v="ModelYCampaign"/>
    <n v="0.35666666666666669"/>
  </r>
  <r>
    <x v="2"/>
    <d v="2025-04-06T00:00:00"/>
    <x v="3"/>
    <s v="Check out our latest carousel on youtube!"/>
    <n v="736"/>
    <n v="771"/>
    <n v="225"/>
    <n v="5152"/>
    <n v="4706"/>
    <n v="19"/>
    <s v="#EVRevolution"/>
    <m/>
    <m/>
    <s v="CybertruckLaunch"/>
    <n v="0.33618012422360249"/>
  </r>
  <r>
    <x v="0"/>
    <d v="2024-07-29T00:00:00"/>
    <x v="0"/>
    <s v="Check out our latest story on instagram!"/>
    <n v="498"/>
    <n v="701"/>
    <n v="412"/>
    <n v="4980"/>
    <n v="4185"/>
    <n v="185"/>
    <s v="#FutureOfDriving"/>
    <m/>
    <m/>
    <m/>
    <n v="0.32349397590361445"/>
  </r>
  <r>
    <x v="3"/>
    <d v="2025-05-13T00:00:00"/>
    <x v="4"/>
    <s v="Check out our latest image on facebook!"/>
    <n v="602"/>
    <n v="594"/>
    <n v="156"/>
    <n v="4214"/>
    <n v="3363"/>
    <n v="164"/>
    <s v="#TeslaCoInnovation"/>
    <m/>
    <m/>
    <s v="FSDUpdate"/>
    <n v="0.32083531086853345"/>
  </r>
  <r>
    <x v="0"/>
    <d v="2024-10-09T00:00:00"/>
    <x v="3"/>
    <s v="Check out our latest carousel on instagram!"/>
    <n v="985"/>
    <n v="932"/>
    <n v="287"/>
    <n v="6895"/>
    <n v="6757"/>
    <n v="64"/>
    <s v="#FutureOfDriving"/>
    <m/>
    <m/>
    <s v="SustainabilityDrive"/>
    <n v="0.31965192168237855"/>
  </r>
  <r>
    <x v="0"/>
    <d v="2025-02-07T00:00:00"/>
    <x v="1"/>
    <s v="Check out our latest reel on instagram!"/>
    <n v="1970"/>
    <n v="675"/>
    <n v="478"/>
    <n v="9850"/>
    <n v="8924"/>
    <n v="117"/>
    <s v="#FutureOfDriving"/>
    <m/>
    <m/>
    <m/>
    <n v="0.31705583756345179"/>
  </r>
  <r>
    <x v="0"/>
    <d v="2024-08-15T00:00:00"/>
    <x v="1"/>
    <s v="Check out our latest reel on instagram!"/>
    <n v="1164"/>
    <n v="616"/>
    <n v="324"/>
    <n v="6984"/>
    <n v="6636"/>
    <n v="82"/>
    <s v="#EVRevolution"/>
    <m/>
    <m/>
    <s v="CybertruckLaunch"/>
    <n v="0.30126002290950743"/>
  </r>
  <r>
    <x v="0"/>
    <d v="2025-01-01T00:00:00"/>
    <x v="3"/>
    <s v="Check out our latest carousel on instagram!"/>
    <n v="2234"/>
    <n v="653"/>
    <n v="432"/>
    <n v="11170"/>
    <n v="10569"/>
    <n v="198"/>
    <s v="#FutureOfDriving"/>
    <m/>
    <m/>
    <s v="FSDUpdate"/>
    <n v="0.29713518352730528"/>
  </r>
  <r>
    <x v="1"/>
    <d v="2024-07-26T00:00:00"/>
    <x v="3"/>
    <s v="Check out our latest carousel on twitter!"/>
    <n v="432"/>
    <n v="171"/>
    <n v="280"/>
    <n v="3024"/>
    <n v="2285"/>
    <n v="184"/>
    <s v="#EVRevolution"/>
    <m/>
    <m/>
    <s v="CybertruckLaunch"/>
    <n v="0.29199735449735448"/>
  </r>
  <r>
    <x v="0"/>
    <d v="2024-12-17T00:00:00"/>
    <x v="0"/>
    <s v="Check out our latest story on instagram!"/>
    <n v="360"/>
    <n v="590"/>
    <n v="393"/>
    <n v="4680"/>
    <n v="4322"/>
    <n v="208"/>
    <s v="#FutureOfDriving"/>
    <m/>
    <m/>
    <s v="ModelYCampaign"/>
    <n v="0.28696581196581195"/>
  </r>
  <r>
    <x v="0"/>
    <d v="2024-12-16T00:00:00"/>
    <x v="5"/>
    <s v="Check out our latest text on instagram!"/>
    <n v="438"/>
    <n v="153"/>
    <n v="275"/>
    <n v="3066"/>
    <n v="2701"/>
    <n v="282"/>
    <s v="#TeslaCoInnovation"/>
    <m/>
    <m/>
    <s v="ModelYCampaign"/>
    <n v="0.28245270711024134"/>
  </r>
  <r>
    <x v="0"/>
    <d v="2024-12-11T00:00:00"/>
    <x v="2"/>
    <s v="Check out our latest video on instagram!"/>
    <n v="1431"/>
    <n v="951"/>
    <n v="26"/>
    <n v="8586"/>
    <n v="8396"/>
    <n v="150"/>
    <s v="#EVRevolution"/>
    <m/>
    <m/>
    <s v="FSDUpdate"/>
    <n v="0.28045655718611695"/>
  </r>
  <r>
    <x v="0"/>
    <d v="2024-08-20T00:00:00"/>
    <x v="1"/>
    <s v="Check out our latest reel on instagram!"/>
    <n v="2603"/>
    <n v="690"/>
    <n v="205"/>
    <n v="13015"/>
    <n v="12130"/>
    <n v="20"/>
    <s v="#FutureOfDriving"/>
    <m/>
    <m/>
    <s v="ModelYCampaign"/>
    <n v="0.26876680752977333"/>
  </r>
  <r>
    <x v="3"/>
    <d v="2025-02-02T00:00:00"/>
    <x v="0"/>
    <s v="Check out our latest story on facebook!"/>
    <n v="886"/>
    <n v="126"/>
    <n v="153"/>
    <n v="4430"/>
    <n v="4037"/>
    <n v="212"/>
    <s v="#EVRevolution"/>
    <m/>
    <m/>
    <m/>
    <n v="0.26297968397291194"/>
  </r>
  <r>
    <x v="2"/>
    <d v="2024-10-25T00:00:00"/>
    <x v="2"/>
    <s v="Check out our latest video on youtube!"/>
    <n v="4661"/>
    <n v="935"/>
    <n v="433"/>
    <n v="23305"/>
    <n v="22583"/>
    <n v="63"/>
    <s v="#FutureOfDriving"/>
    <m/>
    <m/>
    <s v="FSDUpdate"/>
    <n v="0.25869984981763572"/>
  </r>
  <r>
    <x v="3"/>
    <d v="2025-02-10T00:00:00"/>
    <x v="5"/>
    <s v="Check out our latest text on facebook!"/>
    <n v="562"/>
    <n v="158"/>
    <n v="149"/>
    <n v="3372"/>
    <n v="2940"/>
    <n v="93"/>
    <s v="#TeslaCoInnovation"/>
    <m/>
    <m/>
    <s v="CybertruckLaunch"/>
    <n v="0.25771055753262156"/>
  </r>
  <r>
    <x v="1"/>
    <d v="2025-01-28T00:00:00"/>
    <x v="1"/>
    <s v="Check out our latest reel on twitter!"/>
    <n v="1188"/>
    <n v="470"/>
    <n v="174"/>
    <n v="7128"/>
    <n v="6145"/>
    <n v="270"/>
    <s v="#TeslaCoInnovation"/>
    <m/>
    <m/>
    <s v="SustainabilityDrive"/>
    <n v="0.25701459034792368"/>
  </r>
  <r>
    <x v="0"/>
    <d v="2024-08-07T00:00:00"/>
    <x v="3"/>
    <s v="Check out our latest carousel on instagram!"/>
    <n v="1741"/>
    <n v="164"/>
    <n v="318"/>
    <n v="8705"/>
    <n v="8272"/>
    <n v="121"/>
    <s v="#TeslaCoInnovation"/>
    <m/>
    <m/>
    <m/>
    <n v="0.25537047673750718"/>
  </r>
  <r>
    <x v="1"/>
    <d v="2025-02-20T00:00:00"/>
    <x v="3"/>
    <s v="Check out our latest carousel on twitter!"/>
    <n v="1877"/>
    <n v="745"/>
    <n v="225"/>
    <n v="11262"/>
    <n v="10967"/>
    <n v="41"/>
    <s v="#EVRevolution"/>
    <m/>
    <m/>
    <s v="SustainabilityDrive"/>
    <n v="0.25279701651571657"/>
  </r>
  <r>
    <x v="2"/>
    <d v="2025-02-24T00:00:00"/>
    <x v="5"/>
    <s v="Check out our latest text on youtube!"/>
    <n v="4188"/>
    <n v="942"/>
    <n v="118"/>
    <n v="20940"/>
    <n v="20471"/>
    <n v="102"/>
    <s v="#FutureOfDriving"/>
    <m/>
    <m/>
    <m/>
    <n v="0.25062082139446035"/>
  </r>
  <r>
    <x v="3"/>
    <d v="2025-04-06T00:00:00"/>
    <x v="4"/>
    <s v="Check out our latest image on facebook!"/>
    <n v="4236"/>
    <n v="711"/>
    <n v="298"/>
    <n v="21180"/>
    <n v="20516"/>
    <n v="238"/>
    <s v="#FutureOfDriving"/>
    <m/>
    <m/>
    <s v="CybertruckLaunch"/>
    <n v="0.24763928234183191"/>
  </r>
  <r>
    <x v="1"/>
    <d v="2024-12-24T00:00:00"/>
    <x v="5"/>
    <s v="Check out our latest text on twitter!"/>
    <n v="2166"/>
    <n v="354"/>
    <n v="117"/>
    <n v="10830"/>
    <n v="10245"/>
    <n v="24"/>
    <s v="#EVRevolution"/>
    <m/>
    <m/>
    <s v="SustainabilityDrive"/>
    <n v="0.24349030470914126"/>
  </r>
  <r>
    <x v="2"/>
    <d v="2025-03-21T00:00:00"/>
    <x v="4"/>
    <s v="Check out our latest image on youtube!"/>
    <n v="606"/>
    <n v="789"/>
    <n v="470"/>
    <n v="7878"/>
    <n v="7389"/>
    <n v="239"/>
    <s v="#EVRevolution"/>
    <m/>
    <m/>
    <s v="FSDUpdate"/>
    <n v="0.23673521198273673"/>
  </r>
  <r>
    <x v="3"/>
    <d v="2024-10-11T00:00:00"/>
    <x v="4"/>
    <s v="Check out our latest image on facebook!"/>
    <n v="400"/>
    <n v="680"/>
    <n v="434"/>
    <n v="6400"/>
    <n v="5472"/>
    <n v="160"/>
    <s v="#FutureOfDriving"/>
    <m/>
    <m/>
    <s v="ModelYCampaign"/>
    <n v="0.23656250000000001"/>
  </r>
  <r>
    <x v="0"/>
    <d v="2024-06-14T00:00:00"/>
    <x v="0"/>
    <s v="Check out our latest story on instagram!"/>
    <n v="4363"/>
    <n v="649"/>
    <n v="140"/>
    <n v="21815"/>
    <n v="21481"/>
    <n v="157"/>
    <s v="#EVRevolution"/>
    <m/>
    <m/>
    <s v="CybertruckLaunch"/>
    <n v="0.23616777446710979"/>
  </r>
  <r>
    <x v="3"/>
    <d v="2024-10-21T00:00:00"/>
    <x v="0"/>
    <s v="Check out our latest story on facebook!"/>
    <n v="780"/>
    <n v="928"/>
    <n v="301"/>
    <n v="8580"/>
    <n v="8081"/>
    <n v="91"/>
    <s v="#EVRevolution"/>
    <m/>
    <m/>
    <s v="FSDUpdate"/>
    <n v="0.23414918414918415"/>
  </r>
  <r>
    <x v="1"/>
    <d v="2024-08-31T00:00:00"/>
    <x v="4"/>
    <s v="Check out our latest image on twitter!"/>
    <n v="3170"/>
    <n v="857"/>
    <n v="379"/>
    <n v="19020"/>
    <n v="18559"/>
    <n v="240"/>
    <s v="#FutureOfDriving"/>
    <m/>
    <m/>
    <m/>
    <n v="0.2316508937960042"/>
  </r>
  <r>
    <x v="0"/>
    <d v="2025-04-08T00:00:00"/>
    <x v="4"/>
    <s v="Check out our latest image on instagram!"/>
    <n v="4501"/>
    <n v="375"/>
    <n v="323"/>
    <n v="22505"/>
    <n v="21836"/>
    <n v="132"/>
    <s v="#TeslaCoInnovation"/>
    <m/>
    <m/>
    <s v="ModelYCampaign"/>
    <n v="0.23101532992668297"/>
  </r>
  <r>
    <x v="0"/>
    <d v="2024-11-05T00:00:00"/>
    <x v="2"/>
    <s v="Check out our latest video on instagram!"/>
    <n v="4561"/>
    <n v="51"/>
    <n v="441"/>
    <n v="22805"/>
    <n v="21890"/>
    <n v="45"/>
    <s v="#TeslaCoInnovation"/>
    <m/>
    <m/>
    <s v="ModelYCampaign"/>
    <n v="0.22157421618066214"/>
  </r>
  <r>
    <x v="2"/>
    <d v="2025-03-05T00:00:00"/>
    <x v="1"/>
    <s v="Check out our latest reel on youtube!"/>
    <n v="1543"/>
    <n v="820"/>
    <n v="333"/>
    <n v="12344"/>
    <n v="11496"/>
    <n v="241"/>
    <s v="#EVRevolution"/>
    <m/>
    <m/>
    <m/>
    <n v="0.21840570317563188"/>
  </r>
  <r>
    <x v="0"/>
    <d v="2024-12-14T00:00:00"/>
    <x v="3"/>
    <s v="Check out our latest carousel on instagram!"/>
    <n v="2174"/>
    <n v="658"/>
    <n v="15"/>
    <n v="13044"/>
    <n v="12206"/>
    <n v="137"/>
    <s v="#TeslaCoInnovation"/>
    <m/>
    <m/>
    <s v="FSDUpdate"/>
    <n v="0.21826126954921804"/>
  </r>
  <r>
    <x v="3"/>
    <d v="2024-11-25T00:00:00"/>
    <x v="0"/>
    <s v="Check out our latest story on facebook!"/>
    <n v="2120"/>
    <n v="158"/>
    <n v="488"/>
    <n v="12720"/>
    <n v="12085"/>
    <n v="17"/>
    <s v="#FutureOfDriving"/>
    <m/>
    <m/>
    <s v="ModelYCampaign"/>
    <n v="0.21745283018867925"/>
  </r>
  <r>
    <x v="2"/>
    <d v="2024-06-05T00:00:00"/>
    <x v="1"/>
    <s v="Check out our latest reel on youtube!"/>
    <n v="3065"/>
    <n v="772"/>
    <n v="142"/>
    <n v="18390"/>
    <n v="17875"/>
    <n v="200"/>
    <s v="#EVRevolution"/>
    <s v="#AnytimeIsTeslaTime"/>
    <m/>
    <m/>
    <n v="0.21636759108210984"/>
  </r>
  <r>
    <x v="0"/>
    <d v="2025-01-31T00:00:00"/>
    <x v="3"/>
    <s v="Check out our latest carousel on instagram!"/>
    <n v="2566"/>
    <n v="118"/>
    <n v="37"/>
    <n v="12830"/>
    <n v="12264"/>
    <n v="221"/>
    <s v="#FutureOfDriving"/>
    <m/>
    <m/>
    <s v="FSDUpdate"/>
    <n v="0.21208106001558846"/>
  </r>
  <r>
    <x v="3"/>
    <d v="2024-07-31T00:00:00"/>
    <x v="2"/>
    <s v="Check out our latest video on facebook!"/>
    <n v="3008"/>
    <n v="94"/>
    <n v="37"/>
    <n v="15040"/>
    <n v="14639"/>
    <n v="277"/>
    <s v="#FutureOfDriving"/>
    <m/>
    <m/>
    <m/>
    <n v="0.20871010638297871"/>
  </r>
  <r>
    <x v="1"/>
    <d v="2024-06-06T00:00:00"/>
    <x v="2"/>
    <s v="Check out our latest video on twitter!"/>
    <n v="1436"/>
    <n v="765"/>
    <n v="496"/>
    <n v="12924"/>
    <n v="12701"/>
    <n v="197"/>
    <s v="#FutureOfDriving"/>
    <m/>
    <m/>
    <s v="FSDUpdate"/>
    <n v="0.20868152274837512"/>
  </r>
  <r>
    <x v="0"/>
    <d v="2024-10-17T00:00:00"/>
    <x v="2"/>
    <s v="Check out our latest video on instagram!"/>
    <n v="3575"/>
    <n v="749"/>
    <n v="111"/>
    <n v="21450"/>
    <n v="20785"/>
    <n v="195"/>
    <s v="#EVRevolution"/>
    <m/>
    <m/>
    <s v="ModelYCampaign"/>
    <n v="0.20675990675990677"/>
  </r>
  <r>
    <x v="3"/>
    <d v="2025-03-04T00:00:00"/>
    <x v="0"/>
    <s v="Check out our latest story on facebook!"/>
    <n v="1249"/>
    <n v="116"/>
    <n v="420"/>
    <n v="8743"/>
    <n v="8538"/>
    <n v="63"/>
    <s v="#TeslaCoInnovation"/>
    <m/>
    <m/>
    <m/>
    <n v="0.20416333066453163"/>
  </r>
  <r>
    <x v="0"/>
    <d v="2024-07-11T00:00:00"/>
    <x v="5"/>
    <s v="Check out our latest text on instagram!"/>
    <n v="3134"/>
    <n v="888"/>
    <n v="444"/>
    <n v="21938"/>
    <n v="21337"/>
    <n v="130"/>
    <s v="#EVRevolution"/>
    <m/>
    <m/>
    <s v="SustainabilityDrive"/>
    <n v="0.20357370772176134"/>
  </r>
  <r>
    <x v="0"/>
    <d v="2024-08-05T00:00:00"/>
    <x v="0"/>
    <s v="Check out our latest story on instagram!"/>
    <n v="3601"/>
    <n v="695"/>
    <n v="75"/>
    <n v="21606"/>
    <n v="21454"/>
    <n v="172"/>
    <s v="#EVRevolution"/>
    <m/>
    <m/>
    <s v="ModelYCampaign"/>
    <n v="0.2023049153013052"/>
  </r>
  <r>
    <x v="1"/>
    <d v="2024-06-07T00:00:00"/>
    <x v="3"/>
    <s v="Check out our latest carousel on twitter!"/>
    <n v="1556"/>
    <n v="195"/>
    <n v="131"/>
    <n v="9336"/>
    <n v="8875"/>
    <n v="137"/>
    <s v="#TeslaCoInnovation"/>
    <m/>
    <m/>
    <s v="ModelYCampaign"/>
    <n v="0.2015852613538989"/>
  </r>
  <r>
    <x v="0"/>
    <d v="2025-04-15T00:00:00"/>
    <x v="2"/>
    <s v="Check out our latest video on instagram!"/>
    <n v="4133"/>
    <n v="466"/>
    <n v="327"/>
    <n v="24798"/>
    <n v="24620"/>
    <n v="176"/>
    <s v="#EVRevolution"/>
    <m/>
    <m/>
    <s v="SustainabilityDrive"/>
    <n v="0.19864505202032423"/>
  </r>
  <r>
    <x v="1"/>
    <d v="2024-09-14T00:00:00"/>
    <x v="4"/>
    <s v="Check out our latest image on twitter!"/>
    <n v="1048"/>
    <n v="374"/>
    <n v="450"/>
    <n v="9432"/>
    <n v="8882"/>
    <n v="158"/>
    <s v="#TeslaCoInnovation"/>
    <m/>
    <m/>
    <s v="FSDUpdate"/>
    <n v="0.19847328244274809"/>
  </r>
  <r>
    <x v="3"/>
    <d v="2025-04-22T00:00:00"/>
    <x v="4"/>
    <s v="Check out our latest image on facebook!"/>
    <n v="4804"/>
    <n v="550"/>
    <n v="270"/>
    <n v="28824"/>
    <n v="28370"/>
    <n v="47"/>
    <s v="#EVRevolution"/>
    <m/>
    <m/>
    <s v="SustainabilityDrive"/>
    <n v="0.19511518179295032"/>
  </r>
  <r>
    <x v="2"/>
    <d v="2024-09-25T00:00:00"/>
    <x v="2"/>
    <s v="Check out our latest video on youtube!"/>
    <n v="3389"/>
    <n v="344"/>
    <n v="229"/>
    <n v="20334"/>
    <n v="19443"/>
    <n v="228"/>
    <s v="#FutureOfDriving"/>
    <m/>
    <m/>
    <s v="FSDUpdate"/>
    <n v="0.19484607062063539"/>
  </r>
  <r>
    <x v="0"/>
    <d v="2024-12-08T00:00:00"/>
    <x v="0"/>
    <s v="Check out our latest story on instagram!"/>
    <n v="2610"/>
    <n v="126"/>
    <n v="288"/>
    <n v="15660"/>
    <n v="15145"/>
    <n v="73"/>
    <s v="#EVRevolution"/>
    <m/>
    <m/>
    <m/>
    <n v="0.19310344827586207"/>
  </r>
  <r>
    <x v="0"/>
    <d v="2025-04-19T00:00:00"/>
    <x v="4"/>
    <s v="Check out our latest image on instagram!"/>
    <n v="4177"/>
    <n v="569"/>
    <n v="55"/>
    <n v="25062"/>
    <n v="24847"/>
    <n v="230"/>
    <s v="#FutureOfDriving"/>
    <m/>
    <m/>
    <s v="CybertruckLaunch"/>
    <n v="0.19156491900087783"/>
  </r>
  <r>
    <x v="1"/>
    <d v="2024-07-31T00:00:00"/>
    <x v="3"/>
    <s v="Check out our latest carousel on twitter!"/>
    <n v="2278"/>
    <n v="10"/>
    <n v="321"/>
    <n v="13668"/>
    <n v="12676"/>
    <n v="275"/>
    <s v="#EVRevolution"/>
    <m/>
    <m/>
    <s v="CybertruckLaunch"/>
    <n v="0.19088381621305239"/>
  </r>
  <r>
    <x v="3"/>
    <d v="2024-06-11T00:00:00"/>
    <x v="3"/>
    <s v="Check out our latest carousel on facebook!"/>
    <n v="1869"/>
    <n v="453"/>
    <n v="490"/>
    <n v="14952"/>
    <n v="14309"/>
    <n v="275"/>
    <s v="#TeslaCoInnovation"/>
    <m/>
    <m/>
    <s v="SustainabilityDrive"/>
    <n v="0.18806848582129482"/>
  </r>
  <r>
    <x v="1"/>
    <d v="2024-07-18T00:00:00"/>
    <x v="3"/>
    <s v="Check out our latest carousel on twitter!"/>
    <n v="2120"/>
    <n v="38"/>
    <n v="212"/>
    <n v="12720"/>
    <n v="12564"/>
    <n v="21"/>
    <s v="#FutureOfDriving"/>
    <m/>
    <m/>
    <s v="SustainabilityDrive"/>
    <n v="0.18632075471698112"/>
  </r>
  <r>
    <x v="3"/>
    <d v="2024-07-07T00:00:00"/>
    <x v="1"/>
    <s v="Check out our latest reel on facebook!"/>
    <n v="4767"/>
    <n v="190"/>
    <n v="340"/>
    <n v="28602"/>
    <n v="28044"/>
    <n v="210"/>
    <s v="#EVRevolution"/>
    <m/>
    <m/>
    <s v="FSDUpdate"/>
    <n v="0.18519683938186141"/>
  </r>
  <r>
    <x v="0"/>
    <d v="2025-03-08T00:00:00"/>
    <x v="1"/>
    <s v="Check out our latest reel on instagram!"/>
    <n v="456"/>
    <n v="629"/>
    <n v="428"/>
    <n v="8208"/>
    <n v="7377"/>
    <n v="205"/>
    <s v="#FutureOfDriving"/>
    <m/>
    <m/>
    <s v="SustainabilityDrive"/>
    <n v="0.18433235867446393"/>
  </r>
  <r>
    <x v="3"/>
    <d v="2024-06-19T00:00:00"/>
    <x v="3"/>
    <s v="Check out our latest carousel on facebook!"/>
    <n v="4731"/>
    <n v="173"/>
    <n v="276"/>
    <n v="28386"/>
    <n v="28185"/>
    <n v="89"/>
    <s v="#EVRevolution"/>
    <m/>
    <m/>
    <s v="FSDUpdate"/>
    <n v="0.18248432325794406"/>
  </r>
  <r>
    <x v="3"/>
    <d v="2024-10-31T00:00:00"/>
    <x v="3"/>
    <s v="Check out our latest carousel on facebook!"/>
    <n v="2945"/>
    <n v="930"/>
    <n v="355"/>
    <n v="23560"/>
    <n v="23275"/>
    <n v="256"/>
    <s v="#TeslaCoInnovation"/>
    <m/>
    <m/>
    <s v="ModelYCampaign"/>
    <n v="0.17954159592529711"/>
  </r>
  <r>
    <x v="1"/>
    <d v="2025-01-01T00:00:00"/>
    <x v="2"/>
    <s v="Check out our latest video on twitter!"/>
    <n v="754"/>
    <n v="197"/>
    <n v="257"/>
    <n v="6786"/>
    <n v="6221"/>
    <n v="212"/>
    <s v="#TeslaCoInnovation"/>
    <m/>
    <m/>
    <s v="FSDUpdate"/>
    <n v="0.17801355732390214"/>
  </r>
  <r>
    <x v="3"/>
    <d v="2025-01-06T00:00:00"/>
    <x v="3"/>
    <s v="Check out our latest carousel on facebook!"/>
    <n v="3024"/>
    <n v="925"/>
    <n v="350"/>
    <n v="24192"/>
    <n v="23518"/>
    <n v="36"/>
    <s v="#EVRevolution"/>
    <m/>
    <m/>
    <s v="ModelYCampaign"/>
    <n v="0.17770337301587302"/>
  </r>
  <r>
    <x v="3"/>
    <d v="2025-01-18T00:00:00"/>
    <x v="0"/>
    <s v="Check out our latest story on facebook!"/>
    <n v="4321"/>
    <n v="874"/>
    <n v="172"/>
    <n v="30247"/>
    <n v="29254"/>
    <n v="122"/>
    <s v="#TeslaCoInnovation"/>
    <m/>
    <m/>
    <s v="SustainabilityDrive"/>
    <n v="0.17743908486792079"/>
  </r>
  <r>
    <x v="1"/>
    <d v="2024-10-05T00:00:00"/>
    <x v="0"/>
    <s v="Check out our latest story on twitter!"/>
    <n v="1957"/>
    <n v="877"/>
    <n v="238"/>
    <n v="17613"/>
    <n v="16865"/>
    <n v="297"/>
    <s v="#FutureOfDriving"/>
    <m/>
    <m/>
    <s v="FSDUpdate"/>
    <n v="0.17441662408448305"/>
  </r>
  <r>
    <x v="1"/>
    <d v="2024-07-21T00:00:00"/>
    <x v="5"/>
    <s v="Check out our latest text on twitter!"/>
    <n v="2147"/>
    <n v="430"/>
    <n v="393"/>
    <n v="17176"/>
    <n v="16483"/>
    <n v="170"/>
    <s v="#TeslaCoInnovation"/>
    <m/>
    <m/>
    <m/>
    <n v="0.17291569632044715"/>
  </r>
  <r>
    <x v="0"/>
    <d v="2025-03-04T00:00:00"/>
    <x v="2"/>
    <s v="Check out our latest video on instagram!"/>
    <n v="432"/>
    <n v="624"/>
    <n v="123"/>
    <n v="6912"/>
    <n v="6259"/>
    <n v="79"/>
    <s v="#FutureOfDriving"/>
    <m/>
    <m/>
    <s v="SustainabilityDrive"/>
    <n v="0.17057291666666666"/>
  </r>
  <r>
    <x v="1"/>
    <d v="2025-05-02T00:00:00"/>
    <x v="2"/>
    <s v="Check out our latest video on twitter!"/>
    <n v="1108"/>
    <n v="177"/>
    <n v="212"/>
    <n v="8864"/>
    <n v="8710"/>
    <n v="97"/>
    <s v="#TeslaCoInnovation"/>
    <m/>
    <m/>
    <s v="SustainabilityDrive"/>
    <n v="0.16888537906137185"/>
  </r>
  <r>
    <x v="1"/>
    <d v="2025-01-10T00:00:00"/>
    <x v="4"/>
    <s v="Check out our latest image on twitter!"/>
    <n v="2214"/>
    <n v="249"/>
    <n v="152"/>
    <n v="15498"/>
    <n v="14800"/>
    <n v="180"/>
    <s v="#EVRevolution"/>
    <m/>
    <m/>
    <m/>
    <n v="0.16873144921925409"/>
  </r>
  <r>
    <x v="0"/>
    <d v="2024-11-07T00:00:00"/>
    <x v="4"/>
    <s v="Check out our latest image on instagram!"/>
    <n v="2647"/>
    <n v="304"/>
    <n v="170"/>
    <n v="18529"/>
    <n v="17841"/>
    <n v="46"/>
    <s v="#FutureOfDriving"/>
    <m/>
    <m/>
    <s v="FSDUpdate"/>
    <n v="0.16843866371633656"/>
  </r>
  <r>
    <x v="2"/>
    <d v="2025-03-18T00:00:00"/>
    <x v="1"/>
    <s v="Check out our latest reel on youtube!"/>
    <n v="3704"/>
    <n v="186"/>
    <n v="458"/>
    <n v="25928"/>
    <n v="25081"/>
    <n v="131"/>
    <s v="#TeslaCoInnovation"/>
    <m/>
    <m/>
    <m/>
    <n v="0.16769515581610614"/>
  </r>
  <r>
    <x v="3"/>
    <d v="2024-08-05T00:00:00"/>
    <x v="1"/>
    <s v="Check out our latest reel on facebook!"/>
    <n v="1741"/>
    <n v="831"/>
    <n v="345"/>
    <n v="17410"/>
    <n v="16844"/>
    <n v="58"/>
    <s v="#EVRevolution"/>
    <m/>
    <m/>
    <s v="FSDUpdate"/>
    <n v="0.16754738655944859"/>
  </r>
  <r>
    <x v="1"/>
    <d v="2024-08-08T00:00:00"/>
    <x v="0"/>
    <s v="Check out our latest story on twitter!"/>
    <n v="3649"/>
    <n v="215"/>
    <n v="413"/>
    <n v="25543"/>
    <n v="24963"/>
    <n v="167"/>
    <s v="#FutureOfDriving"/>
    <m/>
    <m/>
    <s v="FSDUpdate"/>
    <n v="0.16744313510550835"/>
  </r>
  <r>
    <x v="1"/>
    <d v="2025-02-24T00:00:00"/>
    <x v="3"/>
    <s v="Check out our latest carousel on twitter!"/>
    <n v="2704"/>
    <n v="752"/>
    <n v="153"/>
    <n v="21632"/>
    <n v="20792"/>
    <n v="127"/>
    <s v="#FutureOfDriving"/>
    <m/>
    <m/>
    <m/>
    <n v="0.16683616863905326"/>
  </r>
  <r>
    <x v="1"/>
    <d v="2025-05-06T00:00:00"/>
    <x v="4"/>
    <s v="Check out our latest image on twitter!"/>
    <n v="1952"/>
    <n v="344"/>
    <n v="287"/>
    <n v="15616"/>
    <n v="15403"/>
    <n v="235"/>
    <s v="#FutureOfDriving"/>
    <s v="#TeslaCoInnovation"/>
    <s v="#AnytimeIsTeslaTime"/>
    <s v="ModelYCampaign"/>
    <n v="0.16540727459016394"/>
  </r>
  <r>
    <x v="2"/>
    <d v="2025-03-13T00:00:00"/>
    <x v="3"/>
    <s v="Check out our latest carousel on youtube!"/>
    <n v="1686"/>
    <n v="904"/>
    <n v="472"/>
    <n v="18546"/>
    <n v="18171"/>
    <n v="52"/>
    <s v="#FutureOfDriving"/>
    <m/>
    <m/>
    <s v="ModelYCampaign"/>
    <n v="0.16510298716704411"/>
  </r>
  <r>
    <x v="0"/>
    <d v="2025-01-28T00:00:00"/>
    <x v="2"/>
    <s v="Check out our latest video on instagram!"/>
    <n v="904"/>
    <n v="973"/>
    <n v="63"/>
    <n v="11752"/>
    <n v="11580"/>
    <n v="84"/>
    <s v="#EVRevolution"/>
    <s v="#TeslaCoInnovation"/>
    <s v="#AnytimeIsTeslaTime"/>
    <s v="FSDUpdate"/>
    <n v="0.1650782845473111"/>
  </r>
  <r>
    <x v="2"/>
    <d v="2024-10-15T00:00:00"/>
    <x v="2"/>
    <s v="Check out our latest video on youtube!"/>
    <n v="1094"/>
    <n v="472"/>
    <n v="21"/>
    <n v="9846"/>
    <n v="9609"/>
    <n v="112"/>
    <s v="#EVRevolution"/>
    <m/>
    <m/>
    <m/>
    <n v="0.16118220597196831"/>
  </r>
  <r>
    <x v="1"/>
    <d v="2025-03-29T00:00:00"/>
    <x v="4"/>
    <s v="Check out our latest image on twitter!"/>
    <n v="305"/>
    <n v="187"/>
    <n v="243"/>
    <n v="4575"/>
    <n v="3704"/>
    <n v="234"/>
    <s v="#FutureOfDriving"/>
    <m/>
    <m/>
    <s v="FSDUpdate"/>
    <n v="0.16065573770491803"/>
  </r>
  <r>
    <x v="3"/>
    <d v="2025-03-23T00:00:00"/>
    <x v="2"/>
    <s v="Check out our latest video on facebook!"/>
    <n v="4453"/>
    <n v="111"/>
    <n v="420"/>
    <n v="31171"/>
    <n v="30565"/>
    <n v="23"/>
    <s v="#TeslaCoInnovation"/>
    <m/>
    <m/>
    <m/>
    <n v="0.15989220750056141"/>
  </r>
  <r>
    <x v="3"/>
    <d v="2025-04-28T00:00:00"/>
    <x v="3"/>
    <s v="Check out our latest carousel on facebook!"/>
    <n v="2089"/>
    <n v="476"/>
    <n v="69"/>
    <n v="16712"/>
    <n v="16309"/>
    <n v="64"/>
    <s v="#FutureOfDriving"/>
    <m/>
    <m/>
    <s v="FSDUpdate"/>
    <n v="0.15761129727142173"/>
  </r>
  <r>
    <x v="3"/>
    <d v="2025-01-03T00:00:00"/>
    <x v="4"/>
    <s v="Check out our latest image on facebook!"/>
    <n v="947"/>
    <n v="338"/>
    <n v="350"/>
    <n v="10417"/>
    <n v="9730"/>
    <n v="34"/>
    <s v="#TeslaCoInnovation"/>
    <m/>
    <m/>
    <s v="SustainabilityDrive"/>
    <n v="0.1569549774407219"/>
  </r>
  <r>
    <x v="3"/>
    <d v="2024-07-15T00:00:00"/>
    <x v="4"/>
    <s v="Check out our latest image on facebook!"/>
    <n v="2291"/>
    <n v="78"/>
    <n v="485"/>
    <n v="18328"/>
    <n v="18101"/>
    <n v="10"/>
    <s v="#EVRevolution"/>
    <s v="#SmoothLikeNitroTesla"/>
    <m/>
    <s v="ModelYCampaign"/>
    <n v="0.15571802706241816"/>
  </r>
  <r>
    <x v="1"/>
    <d v="2024-12-11T00:00:00"/>
    <x v="5"/>
    <s v="Check out our latest text on twitter!"/>
    <n v="3239"/>
    <n v="43"/>
    <n v="211"/>
    <n v="22673"/>
    <n v="22171"/>
    <n v="230"/>
    <s v="#TeslaCoInnovation"/>
    <m/>
    <m/>
    <s v="ModelYCampaign"/>
    <n v="0.15405989502933004"/>
  </r>
  <r>
    <x v="2"/>
    <d v="2025-02-27T00:00:00"/>
    <x v="5"/>
    <s v="Check out our latest text on youtube!"/>
    <n v="4934"/>
    <n v="971"/>
    <n v="156"/>
    <n v="39472"/>
    <n v="39025"/>
    <n v="169"/>
    <s v="#TeslaCoInnovation"/>
    <s v="#AnytimeIsTeslaTime"/>
    <m/>
    <s v="SustainabilityDrive"/>
    <n v="0.15355188488042157"/>
  </r>
  <r>
    <x v="2"/>
    <d v="2025-01-18T00:00:00"/>
    <x v="4"/>
    <s v="Check out our latest image on youtube!"/>
    <n v="1206"/>
    <n v="238"/>
    <n v="36"/>
    <n v="9648"/>
    <n v="9417"/>
    <n v="237"/>
    <s v="#TeslaCoInnovation"/>
    <m/>
    <m/>
    <m/>
    <n v="0.15339966832504145"/>
  </r>
  <r>
    <x v="0"/>
    <d v="2024-10-21T00:00:00"/>
    <x v="1"/>
    <s v="Check out our latest reel on instagram!"/>
    <n v="3256"/>
    <n v="459"/>
    <n v="266"/>
    <n v="26048"/>
    <n v="25529"/>
    <n v="143"/>
    <s v="#TeslaCoInnovation"/>
    <m/>
    <m/>
    <s v="ModelYCampaign"/>
    <n v="0.15283323095823095"/>
  </r>
  <r>
    <x v="0"/>
    <d v="2024-08-12T00:00:00"/>
    <x v="0"/>
    <s v="Check out our latest story on instagram!"/>
    <n v="2404"/>
    <n v="363"/>
    <n v="138"/>
    <n v="19232"/>
    <n v="18636"/>
    <n v="128"/>
    <s v="#EVRevolution"/>
    <m/>
    <m/>
    <s v="SustainabilityDrive"/>
    <n v="0.15105033277870217"/>
  </r>
  <r>
    <x v="3"/>
    <d v="2025-02-16T00:00:00"/>
    <x v="0"/>
    <s v="Check out our latest story on facebook!"/>
    <n v="4242"/>
    <n v="555"/>
    <n v="131"/>
    <n v="33936"/>
    <n v="33802"/>
    <n v="265"/>
    <s v="#FutureOfDriving"/>
    <m/>
    <m/>
    <m/>
    <n v="0.14521452145214522"/>
  </r>
  <r>
    <x v="0"/>
    <d v="2024-11-29T00:00:00"/>
    <x v="2"/>
    <s v="Check out our latest video on instagram!"/>
    <n v="1176"/>
    <n v="464"/>
    <n v="394"/>
    <n v="14112"/>
    <n v="13588"/>
    <n v="272"/>
    <s v="#EVRevolution"/>
    <m/>
    <m/>
    <m/>
    <n v="0.1441326530612245"/>
  </r>
  <r>
    <x v="1"/>
    <d v="2024-12-05T00:00:00"/>
    <x v="2"/>
    <s v="Check out our latest video on twitter!"/>
    <n v="1330"/>
    <n v="925"/>
    <n v="35"/>
    <n v="15960"/>
    <n v="15379"/>
    <n v="229"/>
    <s v="#FutureOfDriving"/>
    <m/>
    <m/>
    <s v="FSDUpdate"/>
    <n v="0.14348370927318296"/>
  </r>
  <r>
    <x v="1"/>
    <d v="2025-02-16T00:00:00"/>
    <x v="1"/>
    <s v="Check out our latest reel on twitter!"/>
    <n v="1076"/>
    <n v="313"/>
    <n v="306"/>
    <n v="11836"/>
    <n v="11596"/>
    <n v="104"/>
    <s v="#FutureOfDriving"/>
    <m/>
    <m/>
    <s v="CybertruckLaunch"/>
    <n v="0.14320716458262928"/>
  </r>
  <r>
    <x v="1"/>
    <d v="2024-12-29T00:00:00"/>
    <x v="3"/>
    <s v="Check out our latest carousel on twitter!"/>
    <n v="4274"/>
    <n v="340"/>
    <n v="281"/>
    <n v="34192"/>
    <n v="33446"/>
    <n v="129"/>
    <s v="#TeslaCoInnovation"/>
    <s v="#SmoothLikeNitroTesla"/>
    <m/>
    <s v="FSDUpdate"/>
    <n v="0.14316214319138981"/>
  </r>
  <r>
    <x v="1"/>
    <d v="2024-09-05T00:00:00"/>
    <x v="2"/>
    <s v="Check out our latest video on twitter!"/>
    <n v="4886"/>
    <n v="983"/>
    <n v="409"/>
    <n v="43974"/>
    <n v="43239"/>
    <n v="65"/>
    <s v="#TeslaCoInnovation"/>
    <m/>
    <m/>
    <s v="CybertruckLaunch"/>
    <n v="0.14276618001546368"/>
  </r>
  <r>
    <x v="1"/>
    <d v="2024-09-08T00:00:00"/>
    <x v="3"/>
    <s v="Check out our latest carousel on twitter!"/>
    <n v="3811"/>
    <n v="866"/>
    <n v="216"/>
    <n v="34299"/>
    <n v="34088"/>
    <n v="233"/>
    <s v="#TeslaCoInnovation"/>
    <m/>
    <m/>
    <s v="SustainabilityDrive"/>
    <n v="0.14265722032712325"/>
  </r>
  <r>
    <x v="0"/>
    <d v="2025-03-27T00:00:00"/>
    <x v="5"/>
    <s v="Check out our latest text on instagram!"/>
    <n v="4941"/>
    <n v="414"/>
    <n v="266"/>
    <n v="39528"/>
    <n v="39154"/>
    <n v="217"/>
    <s v="#TeslaCoInnovation"/>
    <m/>
    <m/>
    <s v="FSDUpdate"/>
    <n v="0.14220299534507186"/>
  </r>
  <r>
    <x v="1"/>
    <d v="2025-03-07T00:00:00"/>
    <x v="4"/>
    <s v="Check out our latest image on twitter!"/>
    <n v="4750"/>
    <n v="151"/>
    <n v="415"/>
    <n v="38000"/>
    <n v="37792"/>
    <n v="299"/>
    <s v="#EVRevolution"/>
    <m/>
    <m/>
    <s v="SustainabilityDrive"/>
    <n v="0.13989473684210527"/>
  </r>
  <r>
    <x v="3"/>
    <d v="2024-08-26T00:00:00"/>
    <x v="4"/>
    <s v="Check out our latest image on facebook!"/>
    <n v="2581"/>
    <n v="517"/>
    <n v="117"/>
    <n v="23229"/>
    <n v="22331"/>
    <n v="70"/>
    <s v="#FutureOfDriving"/>
    <m/>
    <m/>
    <s v="FSDUpdate"/>
    <n v="0.13840458048129492"/>
  </r>
  <r>
    <x v="3"/>
    <d v="2024-06-22T00:00:00"/>
    <x v="5"/>
    <s v="Check out our latest text on facebook!"/>
    <n v="3828"/>
    <n v="148"/>
    <n v="253"/>
    <n v="30624"/>
    <n v="30229"/>
    <n v="235"/>
    <s v="#EVRevolution"/>
    <m/>
    <m/>
    <m/>
    <n v="0.13809430512016718"/>
  </r>
  <r>
    <x v="2"/>
    <d v="2025-03-23T00:00:00"/>
    <x v="0"/>
    <s v="Check out our latest story on youtube!"/>
    <n v="3655"/>
    <n v="568"/>
    <n v="286"/>
    <n v="32895"/>
    <n v="32015"/>
    <n v="199"/>
    <s v="#TeslaCoInnovation"/>
    <m/>
    <m/>
    <s v="FSDUpdate"/>
    <n v="0.13707250341997265"/>
  </r>
  <r>
    <x v="0"/>
    <d v="2024-08-15T00:00:00"/>
    <x v="3"/>
    <s v="Check out our latest carousel on instagram!"/>
    <n v="914"/>
    <n v="464"/>
    <n v="246"/>
    <n v="11882"/>
    <n v="11500"/>
    <n v="282"/>
    <s v="#FutureOfDriving"/>
    <s v="#TeslaCoInnovation"/>
    <s v="#AnytimeIsTeslaTime"/>
    <s v="SustainabilityDrive"/>
    <n v="0.13667732704931829"/>
  </r>
  <r>
    <x v="1"/>
    <d v="2024-07-28T00:00:00"/>
    <x v="4"/>
    <s v="Check out our latest image on twitter!"/>
    <n v="3215"/>
    <n v="960"/>
    <n v="202"/>
    <n v="32150"/>
    <n v="31404"/>
    <n v="251"/>
    <s v="#EVRevolution"/>
    <m/>
    <m/>
    <s v="CybertruckLaunch"/>
    <n v="0.13614307931570763"/>
  </r>
  <r>
    <x v="1"/>
    <d v="2024-10-21T00:00:00"/>
    <x v="0"/>
    <s v="Check out our latest story on twitter!"/>
    <n v="3801"/>
    <n v="967"/>
    <n v="401"/>
    <n v="38010"/>
    <n v="37625"/>
    <n v="236"/>
    <s v="#FutureOfDriving"/>
    <m/>
    <m/>
    <s v="FSDUpdate"/>
    <n v="0.13599052880820836"/>
  </r>
  <r>
    <x v="3"/>
    <d v="2024-07-07T00:00:00"/>
    <x v="0"/>
    <s v="Check out our latest story on facebook!"/>
    <n v="302"/>
    <n v="47"/>
    <n v="430"/>
    <n v="5738"/>
    <n v="4890"/>
    <n v="25"/>
    <s v="#TeslaCoInnovation"/>
    <m/>
    <m/>
    <s v="SustainabilityDrive"/>
    <n v="0.13576158940397351"/>
  </r>
  <r>
    <x v="2"/>
    <d v="2024-07-18T00:00:00"/>
    <x v="5"/>
    <s v="Check out our latest text on youtube!"/>
    <n v="4021"/>
    <n v="794"/>
    <n v="77"/>
    <n v="36189"/>
    <n v="35505"/>
    <n v="174"/>
    <s v="#EVRevolution"/>
    <m/>
    <m/>
    <m/>
    <n v="0.13517919809886983"/>
  </r>
  <r>
    <x v="2"/>
    <d v="2024-07-03T00:00:00"/>
    <x v="0"/>
    <s v="Check out our latest story on youtube!"/>
    <n v="2754"/>
    <n v="130"/>
    <n v="90"/>
    <n v="22032"/>
    <n v="21288"/>
    <n v="112"/>
    <s v="#TeslaCoInnovation"/>
    <m/>
    <m/>
    <s v="FSDUpdate"/>
    <n v="0.13498547567175018"/>
  </r>
  <r>
    <x v="0"/>
    <d v="2025-03-04T00:00:00"/>
    <x v="0"/>
    <s v="Check out our latest story on instagram!"/>
    <n v="1947"/>
    <n v="842"/>
    <n v="101"/>
    <n v="21417"/>
    <n v="20967"/>
    <n v="186"/>
    <s v="#FutureOfDriving"/>
    <m/>
    <m/>
    <s v="ModelYCampaign"/>
    <n v="0.13493953401503478"/>
  </r>
  <r>
    <x v="0"/>
    <d v="2024-07-03T00:00:00"/>
    <x v="3"/>
    <s v="Check out our latest carousel on instagram!"/>
    <n v="4799"/>
    <n v="694"/>
    <n v="289"/>
    <n v="43191"/>
    <n v="42228"/>
    <n v="118"/>
    <s v="#TeslaCoInnovation"/>
    <m/>
    <m/>
    <m/>
    <n v="0.13387048227640017"/>
  </r>
  <r>
    <x v="2"/>
    <d v="2024-10-28T00:00:00"/>
    <x v="1"/>
    <s v="Check out our latest reel on youtube!"/>
    <n v="1855"/>
    <n v="200"/>
    <n v="174"/>
    <n v="16695"/>
    <n v="16330"/>
    <n v="123"/>
    <s v="#TeslaCoInnovation"/>
    <m/>
    <m/>
    <s v="FSDUpdate"/>
    <n v="0.13351302785265048"/>
  </r>
  <r>
    <x v="1"/>
    <d v="2025-01-14T00:00:00"/>
    <x v="4"/>
    <s v="Check out our latest image on twitter!"/>
    <n v="2692"/>
    <n v="115"/>
    <n v="64"/>
    <n v="21536"/>
    <n v="21120"/>
    <n v="224"/>
    <s v="#FutureOfDriving"/>
    <m/>
    <m/>
    <s v="ModelYCampaign"/>
    <n v="0.13331166419019316"/>
  </r>
  <r>
    <x v="0"/>
    <d v="2024-10-21T00:00:00"/>
    <x v="1"/>
    <s v="Check out our latest reel on instagram!"/>
    <n v="4840"/>
    <n v="658"/>
    <n v="211"/>
    <n v="43560"/>
    <n v="43225"/>
    <n v="57"/>
    <s v="#FutureOfDriving"/>
    <m/>
    <m/>
    <s v="FSDUpdate"/>
    <n v="0.13106060606060607"/>
  </r>
  <r>
    <x v="3"/>
    <d v="2024-08-19T00:00:00"/>
    <x v="5"/>
    <s v="Check out our latest text on facebook!"/>
    <n v="1257"/>
    <n v="19"/>
    <n v="351"/>
    <n v="12570"/>
    <n v="11660"/>
    <n v="194"/>
    <s v="#FutureOfDriving"/>
    <s v="#AnytimeIsTeslaTime"/>
    <s v="#EVRevolution"/>
    <s v="ModelYCampaign"/>
    <n v="0.12943516308671441"/>
  </r>
  <r>
    <x v="1"/>
    <d v="2024-11-14T00:00:00"/>
    <x v="0"/>
    <s v="Check out our latest story on twitter!"/>
    <n v="4000"/>
    <n v="689"/>
    <n v="488"/>
    <n v="40000"/>
    <n v="39569"/>
    <n v="44"/>
    <s v="#FutureOfDriving"/>
    <m/>
    <m/>
    <s v="CybertruckLaunch"/>
    <n v="0.12942500000000001"/>
  </r>
  <r>
    <x v="3"/>
    <d v="2024-12-18T00:00:00"/>
    <x v="3"/>
    <s v="Check out our latest carousel on facebook!"/>
    <n v="2946"/>
    <n v="498"/>
    <n v="367"/>
    <n v="29460"/>
    <n v="28527"/>
    <n v="60"/>
    <s v="#FutureOfDriving"/>
    <m/>
    <m/>
    <s v="FSDUpdate"/>
    <n v="0.12936184657162253"/>
  </r>
  <r>
    <x v="0"/>
    <d v="2024-06-14T00:00:00"/>
    <x v="3"/>
    <s v="Check out our latest carousel on instagram!"/>
    <n v="498"/>
    <n v="38"/>
    <n v="42"/>
    <n v="4482"/>
    <n v="3647"/>
    <n v="32"/>
    <s v="#FutureOfDriving"/>
    <m/>
    <m/>
    <s v="CybertruckLaunch"/>
    <n v="0.12896028558679162"/>
  </r>
  <r>
    <x v="3"/>
    <d v="2024-07-21T00:00:00"/>
    <x v="1"/>
    <s v="Check out our latest reel on facebook!"/>
    <n v="1946"/>
    <n v="686"/>
    <n v="377"/>
    <n v="23352"/>
    <n v="22982"/>
    <n v="213"/>
    <s v="#FutureOfDriving"/>
    <m/>
    <m/>
    <s v="FSDUpdate"/>
    <n v="0.12885405960945528"/>
  </r>
  <r>
    <x v="3"/>
    <d v="2024-12-22T00:00:00"/>
    <x v="4"/>
    <s v="Check out our latest image on facebook!"/>
    <n v="3196"/>
    <n v="941"/>
    <n v="376"/>
    <n v="35156"/>
    <n v="34444"/>
    <n v="241"/>
    <s v="#TeslaCoInnovation"/>
    <m/>
    <m/>
    <s v="FSDUpdate"/>
    <n v="0.1283706906360223"/>
  </r>
  <r>
    <x v="3"/>
    <d v="2024-08-21T00:00:00"/>
    <x v="4"/>
    <s v="Check out our latest image on facebook!"/>
    <n v="1407"/>
    <n v="400"/>
    <n v="351"/>
    <n v="16884"/>
    <n v="15954"/>
    <n v="113"/>
    <s v="#TeslaCoInnovation"/>
    <m/>
    <m/>
    <s v="CybertruckLaunch"/>
    <n v="0.12781331438047855"/>
  </r>
  <r>
    <x v="2"/>
    <d v="2025-02-17T00:00:00"/>
    <x v="1"/>
    <s v="Check out our latest reel on youtube!"/>
    <n v="3138"/>
    <n v="123"/>
    <n v="291"/>
    <n v="28242"/>
    <n v="27550"/>
    <n v="87"/>
    <s v="#TeslaCoInnovation"/>
    <m/>
    <m/>
    <s v="SustainabilityDrive"/>
    <n v="0.12577012959422137"/>
  </r>
  <r>
    <x v="0"/>
    <d v="2024-12-19T00:00:00"/>
    <x v="5"/>
    <s v="Check out our latest text on instagram!"/>
    <n v="1813"/>
    <n v="623"/>
    <n v="72"/>
    <n v="19943"/>
    <n v="18959"/>
    <n v="85"/>
    <s v="#EVRevolution"/>
    <m/>
    <m/>
    <s v="FSDUpdate"/>
    <n v="0.12575841147269717"/>
  </r>
  <r>
    <x v="1"/>
    <d v="2025-01-10T00:00:00"/>
    <x v="4"/>
    <s v="Check out our latest image on twitter!"/>
    <n v="3092"/>
    <n v="106"/>
    <n v="291"/>
    <n v="27828"/>
    <n v="27217"/>
    <n v="102"/>
    <s v="#FutureOfDriving"/>
    <m/>
    <m/>
    <m/>
    <n v="0.12537731780940059"/>
  </r>
  <r>
    <x v="2"/>
    <d v="2024-12-03T00:00:00"/>
    <x v="2"/>
    <s v="Check out our latest video on youtube!"/>
    <n v="3809"/>
    <n v="273"/>
    <n v="200"/>
    <n v="34281"/>
    <n v="33534"/>
    <n v="83"/>
    <s v="#EVRevolution"/>
    <m/>
    <m/>
    <s v="CybertruckLaunch"/>
    <n v="0.12490884163239112"/>
  </r>
  <r>
    <x v="3"/>
    <d v="2025-05-14T00:00:00"/>
    <x v="5"/>
    <s v="Check out our latest text on facebook!"/>
    <n v="2634"/>
    <n v="726"/>
    <n v="241"/>
    <n v="28974"/>
    <n v="28102"/>
    <n v="277"/>
    <s v="#EVRevolution"/>
    <m/>
    <m/>
    <s v="CybertruckLaunch"/>
    <n v="0.12428384068475185"/>
  </r>
  <r>
    <x v="3"/>
    <d v="2024-11-17T00:00:00"/>
    <x v="5"/>
    <s v="Check out our latest text on facebook!"/>
    <n v="880"/>
    <n v="297"/>
    <n v="345"/>
    <n v="12320"/>
    <n v="11978"/>
    <n v="238"/>
    <s v="#TeslaCoInnovation"/>
    <s v="#AnytimeIsTeslaTime"/>
    <m/>
    <m/>
    <n v="0.12353896103896105"/>
  </r>
  <r>
    <x v="2"/>
    <d v="2025-03-03T00:00:00"/>
    <x v="2"/>
    <s v="Check out our latest video on youtube!"/>
    <n v="3874"/>
    <n v="884"/>
    <n v="19"/>
    <n v="38740"/>
    <n v="38552"/>
    <n v="219"/>
    <s v="#TeslaCoInnovation"/>
    <m/>
    <m/>
    <s v="ModelYCampaign"/>
    <n v="0.123309241094476"/>
  </r>
  <r>
    <x v="0"/>
    <d v="2024-07-29T00:00:00"/>
    <x v="1"/>
    <s v="Check out our latest reel on instagram!"/>
    <n v="3523"/>
    <n v="753"/>
    <n v="482"/>
    <n v="38753"/>
    <n v="38579"/>
    <n v="270"/>
    <s v="#EVRevolution"/>
    <m/>
    <m/>
    <s v="ModelYCampaign"/>
    <n v="0.12277759141227776"/>
  </r>
  <r>
    <x v="3"/>
    <d v="2025-01-12T00:00:00"/>
    <x v="1"/>
    <s v="Check out our latest reel on facebook!"/>
    <n v="4134"/>
    <n v="824"/>
    <n v="99"/>
    <n v="41340"/>
    <n v="41050"/>
    <n v="177"/>
    <s v="#EVRevolution"/>
    <m/>
    <m/>
    <s v="CybertruckLaunch"/>
    <n v="0.12232704402515723"/>
  </r>
  <r>
    <x v="0"/>
    <d v="2024-08-01T00:00:00"/>
    <x v="1"/>
    <s v="Check out our latest reel on instagram!"/>
    <n v="1674"/>
    <n v="929"/>
    <n v="37"/>
    <n v="21762"/>
    <n v="20998"/>
    <n v="255"/>
    <s v="#TeslaCoInnovation"/>
    <m/>
    <m/>
    <s v="SustainabilityDrive"/>
    <n v="0.12131237937689551"/>
  </r>
  <r>
    <x v="3"/>
    <d v="2025-04-03T00:00:00"/>
    <x v="0"/>
    <s v="Check out our latest story on facebook!"/>
    <n v="3767"/>
    <n v="514"/>
    <n v="238"/>
    <n v="37670"/>
    <n v="36807"/>
    <n v="226"/>
    <s v="#FutureOfDriving"/>
    <m/>
    <m/>
    <s v="SustainabilityDrive"/>
    <n v="0.11996283514733209"/>
  </r>
  <r>
    <x v="2"/>
    <d v="2024-09-02T00:00:00"/>
    <x v="3"/>
    <s v="Check out our latest carousel on youtube!"/>
    <n v="2551"/>
    <n v="915"/>
    <n v="205"/>
    <n v="30612"/>
    <n v="30360"/>
    <n v="227"/>
    <s v="#TeslaCoInnovation"/>
    <m/>
    <m/>
    <s v="ModelYCampaign"/>
    <n v="0.1199202926956749"/>
  </r>
  <r>
    <x v="0"/>
    <d v="2025-03-28T00:00:00"/>
    <x v="0"/>
    <s v="Check out our latest story on instagram!"/>
    <n v="1881"/>
    <n v="501"/>
    <n v="99"/>
    <n v="20691"/>
    <n v="19987"/>
    <n v="289"/>
    <s v="#EVRevolution"/>
    <m/>
    <m/>
    <m/>
    <n v="0.11990720603160794"/>
  </r>
  <r>
    <x v="3"/>
    <d v="2024-08-27T00:00:00"/>
    <x v="1"/>
    <s v="Check out our latest reel on facebook!"/>
    <n v="3960"/>
    <n v="266"/>
    <n v="8"/>
    <n v="35640"/>
    <n v="34850"/>
    <n v="208"/>
    <s v="#FutureOfDriving"/>
    <s v="#EVRevolution"/>
    <s v="#BetterWithTesla"/>
    <m/>
    <n v="0.11879910213243547"/>
  </r>
  <r>
    <x v="0"/>
    <d v="2024-11-30T00:00:00"/>
    <x v="2"/>
    <s v="Check out our latest video on instagram!"/>
    <n v="3775"/>
    <n v="16"/>
    <n v="239"/>
    <n v="33975"/>
    <n v="33310"/>
    <n v="271"/>
    <s v="#FutureOfDriving"/>
    <m/>
    <m/>
    <s v="ModelYCampaign"/>
    <n v="0.11861662987490802"/>
  </r>
  <r>
    <x v="1"/>
    <d v="2024-11-04T00:00:00"/>
    <x v="4"/>
    <s v="Check out our latest image on twitter!"/>
    <n v="1606"/>
    <n v="451"/>
    <n v="405"/>
    <n v="20878"/>
    <n v="20190"/>
    <n v="219"/>
    <s v="#EVRevolution"/>
    <m/>
    <m/>
    <s v="SustainabilityDrive"/>
    <n v="0.11792317271769326"/>
  </r>
  <r>
    <x v="0"/>
    <d v="2025-03-27T00:00:00"/>
    <x v="3"/>
    <s v="Check out our latest carousel on instagram!"/>
    <n v="1377"/>
    <n v="796"/>
    <n v="387"/>
    <n v="22032"/>
    <n v="21869"/>
    <n v="189"/>
    <s v="#FutureOfDriving"/>
    <m/>
    <m/>
    <m/>
    <n v="0.11619462599854757"/>
  </r>
  <r>
    <x v="0"/>
    <d v="2025-02-02T00:00:00"/>
    <x v="0"/>
    <s v="Check out our latest story on instagram!"/>
    <n v="1792"/>
    <n v="614"/>
    <n v="497"/>
    <n v="25088"/>
    <n v="24675"/>
    <n v="65"/>
    <s v="#FutureOfDriving"/>
    <m/>
    <m/>
    <s v="SustainabilityDrive"/>
    <n v="0.11571269132653061"/>
  </r>
  <r>
    <x v="1"/>
    <d v="2025-02-19T00:00:00"/>
    <x v="5"/>
    <s v="Check out our latest text on twitter!"/>
    <n v="4671"/>
    <n v="876"/>
    <n v="366"/>
    <n v="51381"/>
    <n v="50565"/>
    <n v="245"/>
    <s v="#TeslaCoInnovation"/>
    <m/>
    <m/>
    <s v="SustainabilityDrive"/>
    <n v="0.11508145034156594"/>
  </r>
  <r>
    <x v="2"/>
    <d v="2024-12-21T00:00:00"/>
    <x v="4"/>
    <s v="Check out our latest image on youtube!"/>
    <n v="2283"/>
    <n v="210"/>
    <n v="130"/>
    <n v="22830"/>
    <n v="22617"/>
    <n v="143"/>
    <s v="#FutureOfDriving"/>
    <m/>
    <m/>
    <s v="ModelYCampaign"/>
    <n v="0.11489268506351293"/>
  </r>
  <r>
    <x v="1"/>
    <d v="2024-09-17T00:00:00"/>
    <x v="5"/>
    <s v="Check out our latest text on twitter!"/>
    <n v="571"/>
    <n v="190"/>
    <n v="352"/>
    <n v="9707"/>
    <n v="9418"/>
    <n v="231"/>
    <s v="#TeslaCoInnovation"/>
    <m/>
    <m/>
    <s v="SustainabilityDrive"/>
    <n v="0.11465952405480581"/>
  </r>
  <r>
    <x v="1"/>
    <d v="2024-10-02T00:00:00"/>
    <x v="3"/>
    <s v="Check out our latest carousel on twitter!"/>
    <n v="4419"/>
    <n v="236"/>
    <n v="369"/>
    <n v="44190"/>
    <n v="43582"/>
    <n v="10"/>
    <s v="#EVRevolution"/>
    <m/>
    <m/>
    <s v="CybertruckLaunch"/>
    <n v="0.11369088028965829"/>
  </r>
  <r>
    <x v="0"/>
    <d v="2024-08-11T00:00:00"/>
    <x v="0"/>
    <s v="Check out our latest story on instagram!"/>
    <n v="1762"/>
    <n v="405"/>
    <n v="423"/>
    <n v="22906"/>
    <n v="21925"/>
    <n v="25"/>
    <s v="#TeslaCoInnovation"/>
    <m/>
    <m/>
    <s v="CybertruckLaunch"/>
    <n v="0.11307081114118571"/>
  </r>
  <r>
    <x v="1"/>
    <d v="2024-06-10T00:00:00"/>
    <x v="0"/>
    <s v="Check out our latest story on twitter!"/>
    <n v="1575"/>
    <n v="771"/>
    <n v="486"/>
    <n v="25200"/>
    <n v="24826"/>
    <n v="17"/>
    <s v="#FutureOfDriving"/>
    <m/>
    <m/>
    <s v="SustainabilityDrive"/>
    <n v="0.11238095238095239"/>
  </r>
  <r>
    <x v="0"/>
    <d v="2024-06-12T00:00:00"/>
    <x v="5"/>
    <s v="Check out our latest text on instagram!"/>
    <n v="246"/>
    <n v="149"/>
    <n v="130"/>
    <n v="4674"/>
    <n v="4390"/>
    <n v="217"/>
    <s v="#FutureOfDriving"/>
    <m/>
    <m/>
    <s v="FSDUpdate"/>
    <n v="0.11232349165596919"/>
  </r>
  <r>
    <x v="3"/>
    <d v="2024-10-08T00:00:00"/>
    <x v="1"/>
    <s v="Check out our latest reel on facebook!"/>
    <n v="1814"/>
    <n v="653"/>
    <n v="363"/>
    <n v="25396"/>
    <n v="25286"/>
    <n v="39"/>
    <s v="#FutureOfDriving"/>
    <s v="#SmoothLikeNitroTesla"/>
    <m/>
    <s v="CybertruckLaunch"/>
    <n v="0.11143487163332809"/>
  </r>
  <r>
    <x v="1"/>
    <d v="2024-11-26T00:00:00"/>
    <x v="5"/>
    <s v="Check out our latest text on twitter!"/>
    <n v="4516"/>
    <n v="836"/>
    <n v="169"/>
    <n v="49676"/>
    <n v="49257"/>
    <n v="282"/>
    <s v="#EVRevolution"/>
    <m/>
    <m/>
    <s v="SustainabilityDrive"/>
    <n v="0.11114018842096787"/>
  </r>
  <r>
    <x v="0"/>
    <d v="2024-07-26T00:00:00"/>
    <x v="4"/>
    <s v="Check out our latest image on instagram!"/>
    <n v="3559"/>
    <n v="59"/>
    <n v="289"/>
    <n v="35590"/>
    <n v="35105"/>
    <n v="122"/>
    <s v="#EVRevolution"/>
    <m/>
    <m/>
    <s v="CybertruckLaunch"/>
    <n v="0.10977802753582468"/>
  </r>
  <r>
    <x v="3"/>
    <d v="2024-10-22T00:00:00"/>
    <x v="3"/>
    <s v="Check out our latest carousel on facebook!"/>
    <n v="3352"/>
    <n v="941"/>
    <n v="482"/>
    <n v="43576"/>
    <n v="43338"/>
    <n v="240"/>
    <s v="#FutureOfDriving"/>
    <m/>
    <m/>
    <s v="ModelYCampaign"/>
    <n v="0.1095786671562328"/>
  </r>
  <r>
    <x v="2"/>
    <d v="2024-07-23T00:00:00"/>
    <x v="0"/>
    <s v="Check out our latest story on youtube!"/>
    <n v="4775"/>
    <n v="173"/>
    <n v="206"/>
    <n v="47750"/>
    <n v="47544"/>
    <n v="187"/>
    <s v="#FutureOfDriving"/>
    <m/>
    <m/>
    <s v="ModelYCampaign"/>
    <n v="0.10793717277486911"/>
  </r>
  <r>
    <x v="1"/>
    <d v="2024-06-24T00:00:00"/>
    <x v="5"/>
    <s v="Check out our latest text on twitter!"/>
    <n v="941"/>
    <n v="121"/>
    <n v="458"/>
    <n v="14115"/>
    <n v="13838"/>
    <n v="87"/>
    <s v="#EVRevolution"/>
    <m/>
    <m/>
    <s v="CybertruckLaunch"/>
    <n v="0.10768685795253277"/>
  </r>
  <r>
    <x v="0"/>
    <d v="2024-10-03T00:00:00"/>
    <x v="2"/>
    <s v="Check out our latest video on instagram!"/>
    <n v="1488"/>
    <n v="417"/>
    <n v="168"/>
    <n v="19344"/>
    <n v="18395"/>
    <n v="30"/>
    <s v="#FutureOfDriving"/>
    <m/>
    <m/>
    <s v="FSDUpdate"/>
    <n v="0.1071650124069479"/>
  </r>
  <r>
    <x v="1"/>
    <d v="2024-06-10T00:00:00"/>
    <x v="0"/>
    <s v="Check out our latest story on twitter!"/>
    <n v="2164"/>
    <n v="549"/>
    <n v="274"/>
    <n v="28132"/>
    <n v="27361"/>
    <n v="177"/>
    <s v="#TeslaCoInnovation"/>
    <m/>
    <m/>
    <s v="SustainabilityDrive"/>
    <n v="0.10617801791554102"/>
  </r>
  <r>
    <x v="1"/>
    <d v="2025-04-24T00:00:00"/>
    <x v="2"/>
    <s v="Check out our latest video on twitter!"/>
    <n v="3820"/>
    <n v="697"/>
    <n v="268"/>
    <n v="45840"/>
    <n v="45631"/>
    <n v="171"/>
    <s v="#TeslaCoInnovation"/>
    <s v="#SmoothLikeNitroTesla"/>
    <m/>
    <s v="SustainabilityDrive"/>
    <n v="0.1043848167539267"/>
  </r>
  <r>
    <x v="2"/>
    <d v="2024-07-13T00:00:00"/>
    <x v="4"/>
    <s v="Check out our latest image on youtube!"/>
    <n v="3929"/>
    <n v="262"/>
    <n v="278"/>
    <n v="43219"/>
    <n v="42841"/>
    <n v="39"/>
    <s v="#EVRevolution"/>
    <m/>
    <m/>
    <s v="SustainabilityDrive"/>
    <n v="0.10340359564080613"/>
  </r>
  <r>
    <x v="1"/>
    <d v="2024-09-10T00:00:00"/>
    <x v="4"/>
    <s v="Check out our latest image on twitter!"/>
    <n v="1238"/>
    <n v="366"/>
    <n v="444"/>
    <n v="19808"/>
    <n v="19334"/>
    <n v="123"/>
    <s v="#FutureOfDriving"/>
    <m/>
    <m/>
    <m/>
    <n v="0.10339256865912763"/>
  </r>
  <r>
    <x v="0"/>
    <d v="2024-08-19T00:00:00"/>
    <x v="1"/>
    <s v="Check out our latest reel on instagram!"/>
    <n v="3000"/>
    <n v="382"/>
    <n v="325"/>
    <n v="36000"/>
    <n v="35819"/>
    <n v="19"/>
    <s v="#FutureOfDriving"/>
    <m/>
    <m/>
    <s v="CybertruckLaunch"/>
    <n v="0.10297222222222223"/>
  </r>
  <r>
    <x v="3"/>
    <d v="2024-07-31T00:00:00"/>
    <x v="4"/>
    <s v="Check out our latest image on facebook!"/>
    <n v="4689"/>
    <n v="134"/>
    <n v="403"/>
    <n v="51579"/>
    <n v="50924"/>
    <n v="173"/>
    <s v="#TeslaCoInnovation"/>
    <m/>
    <m/>
    <s v="SustainabilityDrive"/>
    <n v="0.10132030477519921"/>
  </r>
  <r>
    <x v="3"/>
    <d v="2024-11-25T00:00:00"/>
    <x v="0"/>
    <s v="Check out our latest story on facebook!"/>
    <n v="4182"/>
    <n v="640"/>
    <n v="240"/>
    <n v="50184"/>
    <n v="49351"/>
    <n v="10"/>
    <s v="#TeslaCoInnovation"/>
    <m/>
    <m/>
    <s v="FSDUpdate"/>
    <n v="0.10086880280567512"/>
  </r>
  <r>
    <x v="0"/>
    <d v="2024-06-23T00:00:00"/>
    <x v="2"/>
    <s v="Check out our latest video on instagram!"/>
    <n v="1071"/>
    <n v="519"/>
    <n v="22"/>
    <n v="16065"/>
    <n v="15865"/>
    <n v="103"/>
    <s v="#TeslaCoInnovation"/>
    <m/>
    <m/>
    <s v="SustainabilityDrive"/>
    <n v="0.10034235916588857"/>
  </r>
  <r>
    <x v="1"/>
    <d v="2025-03-25T00:00:00"/>
    <x v="2"/>
    <s v="Check out our latest video on twitter!"/>
    <n v="4050"/>
    <n v="871"/>
    <n v="347"/>
    <n v="52650"/>
    <n v="51755"/>
    <n v="209"/>
    <s v="#TeslaCoInnovation"/>
    <m/>
    <m/>
    <s v="ModelYCampaign"/>
    <n v="0.10005698005698006"/>
  </r>
  <r>
    <x v="0"/>
    <d v="2025-03-28T00:00:00"/>
    <x v="3"/>
    <s v="Check out our latest carousel on instagram!"/>
    <n v="4158"/>
    <n v="167"/>
    <n v="241"/>
    <n v="45738"/>
    <n v="45183"/>
    <n v="142"/>
    <s v="#FutureOfDriving"/>
    <m/>
    <m/>
    <m/>
    <n v="9.9829463465827106E-2"/>
  </r>
  <r>
    <x v="3"/>
    <d v="2024-06-11T00:00:00"/>
    <x v="4"/>
    <s v="Check out our latest image on facebook!"/>
    <n v="3689"/>
    <n v="48"/>
    <n v="306"/>
    <n v="40579"/>
    <n v="39588"/>
    <n v="212"/>
    <s v="#EVRevolution"/>
    <m/>
    <m/>
    <s v="ModelYCampaign"/>
    <n v="9.9632815002833983E-2"/>
  </r>
  <r>
    <x v="2"/>
    <d v="2024-12-03T00:00:00"/>
    <x v="0"/>
    <s v="Check out our latest story on youtube!"/>
    <n v="4285"/>
    <n v="886"/>
    <n v="376"/>
    <n v="55705"/>
    <n v="55556"/>
    <n v="51"/>
    <s v="#FutureOfDriving"/>
    <m/>
    <m/>
    <s v="FSDUpdate"/>
    <n v="9.9578134817341346E-2"/>
  </r>
  <r>
    <x v="1"/>
    <d v="2024-09-11T00:00:00"/>
    <x v="4"/>
    <s v="Check out our latest image on twitter!"/>
    <n v="4858"/>
    <n v="317"/>
    <n v="129"/>
    <n v="53438"/>
    <n v="52687"/>
    <n v="223"/>
    <s v="#EVRevolution"/>
    <m/>
    <m/>
    <s v="FSDUpdate"/>
    <n v="9.9255211647142488E-2"/>
  </r>
  <r>
    <x v="0"/>
    <d v="2024-11-28T00:00:00"/>
    <x v="5"/>
    <s v="Check out our latest text on instagram!"/>
    <n v="4771"/>
    <n v="818"/>
    <n v="56"/>
    <n v="57252"/>
    <n v="56378"/>
    <n v="150"/>
    <s v="#FutureOfDriving"/>
    <m/>
    <m/>
    <m/>
    <n v="9.859917557465242E-2"/>
  </r>
  <r>
    <x v="1"/>
    <d v="2025-03-02T00:00:00"/>
    <x v="4"/>
    <s v="Check out our latest image on twitter!"/>
    <n v="2358"/>
    <n v="784"/>
    <n v="344"/>
    <n v="35370"/>
    <n v="34475"/>
    <n v="216"/>
    <s v="#TeslaCoInnovation"/>
    <m/>
    <m/>
    <m/>
    <n v="9.8558100084817649E-2"/>
  </r>
  <r>
    <x v="2"/>
    <d v="2024-12-31T00:00:00"/>
    <x v="2"/>
    <s v="Check out our latest video on youtube!"/>
    <n v="1018"/>
    <n v="447"/>
    <n v="332"/>
    <n v="18324"/>
    <n v="18164"/>
    <n v="38"/>
    <s v="#FutureOfDriving"/>
    <m/>
    <m/>
    <s v="ModelYCampaign"/>
    <n v="9.8068107400130972E-2"/>
  </r>
  <r>
    <x v="2"/>
    <d v="2024-10-12T00:00:00"/>
    <x v="0"/>
    <s v="Check out our latest story on youtube!"/>
    <n v="3641"/>
    <n v="226"/>
    <n v="46"/>
    <n v="40051"/>
    <n v="39319"/>
    <n v="296"/>
    <s v="#EVRevolution"/>
    <m/>
    <m/>
    <s v="SustainabilityDrive"/>
    <n v="9.7700431949264685E-2"/>
  </r>
  <r>
    <x v="1"/>
    <d v="2025-03-06T00:00:00"/>
    <x v="4"/>
    <s v="Check out our latest image on twitter!"/>
    <n v="3592"/>
    <n v="911"/>
    <n v="375"/>
    <n v="50288"/>
    <n v="49490"/>
    <n v="32"/>
    <s v="#FutureOfDriving"/>
    <m/>
    <m/>
    <s v="SustainabilityDrive"/>
    <n v="9.7001272669424113E-2"/>
  </r>
  <r>
    <x v="0"/>
    <d v="2025-01-11T00:00:00"/>
    <x v="3"/>
    <s v="Check out our latest carousel on instagram!"/>
    <n v="4523"/>
    <n v="61"/>
    <n v="157"/>
    <n v="49753"/>
    <n v="49329"/>
    <n v="71"/>
    <s v="#EVRevolution"/>
    <m/>
    <m/>
    <m/>
    <n v="9.5290736237010829E-2"/>
  </r>
  <r>
    <x v="0"/>
    <d v="2024-10-19T00:00:00"/>
    <x v="0"/>
    <s v="Check out our latest story on instagram!"/>
    <n v="1816"/>
    <n v="29"/>
    <n v="41"/>
    <n v="19976"/>
    <n v="19262"/>
    <n v="283"/>
    <s v="#TeslaCoInnovation"/>
    <m/>
    <m/>
    <s v="FSDUpdate"/>
    <n v="9.4413295955146179E-2"/>
  </r>
  <r>
    <x v="3"/>
    <d v="2025-05-05T00:00:00"/>
    <x v="5"/>
    <s v="Check out our latest text on facebook!"/>
    <n v="4441"/>
    <n v="511"/>
    <n v="70"/>
    <n v="53292"/>
    <n v="53082"/>
    <n v="159"/>
    <s v="#EVRevolution"/>
    <m/>
    <m/>
    <s v="SustainabilityDrive"/>
    <n v="9.4235532537716729E-2"/>
  </r>
  <r>
    <x v="2"/>
    <d v="2024-10-29T00:00:00"/>
    <x v="5"/>
    <s v="Check out our latest text on youtube!"/>
    <n v="2746"/>
    <n v="156"/>
    <n v="203"/>
    <n v="32952"/>
    <n v="32147"/>
    <n v="147"/>
    <s v="#EVRevolution"/>
    <m/>
    <m/>
    <s v="CybertruckLaunch"/>
    <n v="9.422796795338674E-2"/>
  </r>
  <r>
    <x v="1"/>
    <d v="2025-03-08T00:00:00"/>
    <x v="5"/>
    <s v="Check out our latest text on twitter!"/>
    <n v="1292"/>
    <n v="626"/>
    <n v="496"/>
    <n v="25840"/>
    <n v="24916"/>
    <n v="149"/>
    <s v="#FutureOfDriving"/>
    <m/>
    <m/>
    <s v="FSDUpdate"/>
    <n v="9.3421052631578946E-2"/>
  </r>
  <r>
    <x v="0"/>
    <d v="2024-06-22T00:00:00"/>
    <x v="5"/>
    <s v="Check out our latest text on instagram!"/>
    <n v="2180"/>
    <n v="263"/>
    <n v="387"/>
    <n v="30520"/>
    <n v="30059"/>
    <n v="174"/>
    <s v="#EVRevolution"/>
    <m/>
    <m/>
    <m/>
    <n v="9.2726081258191345E-2"/>
  </r>
  <r>
    <x v="2"/>
    <d v="2025-02-10T00:00:00"/>
    <x v="2"/>
    <s v="Check out our latest video on youtube!"/>
    <n v="1766"/>
    <n v="92"/>
    <n v="424"/>
    <n v="24724"/>
    <n v="24333"/>
    <n v="52"/>
    <s v="#EVRevolution"/>
    <m/>
    <m/>
    <m/>
    <n v="9.2298980747451867E-2"/>
  </r>
  <r>
    <x v="3"/>
    <d v="2024-06-17T00:00:00"/>
    <x v="4"/>
    <s v="Check out our latest image on facebook!"/>
    <n v="1226"/>
    <n v="119"/>
    <n v="7"/>
    <n v="14712"/>
    <n v="14049"/>
    <n v="123"/>
    <s v="#EVRevolution"/>
    <m/>
    <m/>
    <s v="SustainabilityDrive"/>
    <n v="9.1897770527460579E-2"/>
  </r>
  <r>
    <x v="0"/>
    <d v="2024-07-10T00:00:00"/>
    <x v="3"/>
    <s v="Check out our latest carousel on instagram!"/>
    <n v="3099"/>
    <n v="694"/>
    <n v="171"/>
    <n v="43386"/>
    <n v="42921"/>
    <n v="52"/>
    <s v="#TeslaCoInnovation"/>
    <m/>
    <m/>
    <s v="FSDUpdate"/>
    <n v="9.1365878393951966E-2"/>
  </r>
  <r>
    <x v="1"/>
    <d v="2024-08-24T00:00:00"/>
    <x v="2"/>
    <s v="Check out our latest video on twitter!"/>
    <n v="1082"/>
    <n v="209"/>
    <n v="484"/>
    <n v="19476"/>
    <n v="18654"/>
    <n v="20"/>
    <s v="#TeslaCoInnovation"/>
    <m/>
    <m/>
    <m/>
    <n v="9.1137810638734856E-2"/>
  </r>
  <r>
    <x v="1"/>
    <d v="2024-12-23T00:00:00"/>
    <x v="1"/>
    <s v="Check out our latest reel on twitter!"/>
    <n v="1461"/>
    <n v="184"/>
    <n v="344"/>
    <n v="21915"/>
    <n v="21675"/>
    <n v="15"/>
    <s v="#FutureOfDriving"/>
    <s v="#AnytimeIsTeslaTime"/>
    <m/>
    <s v="CybertruckLaunch"/>
    <n v="9.0759753593429152E-2"/>
  </r>
  <r>
    <x v="1"/>
    <d v="2025-01-15T00:00:00"/>
    <x v="1"/>
    <s v="Check out our latest reel on twitter!"/>
    <n v="802"/>
    <n v="262"/>
    <n v="244"/>
    <n v="14436"/>
    <n v="14280"/>
    <n v="49"/>
    <s v="#EVRevolution"/>
    <m/>
    <m/>
    <s v="CybertruckLaunch"/>
    <n v="9.0606816292601824E-2"/>
  </r>
  <r>
    <x v="2"/>
    <d v="2024-12-03T00:00:00"/>
    <x v="5"/>
    <s v="Check out our latest text on youtube!"/>
    <n v="3711"/>
    <n v="352"/>
    <n v="290"/>
    <n v="48243"/>
    <n v="47579"/>
    <n v="11"/>
    <s v="#TeslaCoInnovation"/>
    <m/>
    <m/>
    <s v="CybertruckLaunch"/>
    <n v="9.023070704558174E-2"/>
  </r>
  <r>
    <x v="2"/>
    <d v="2025-04-05T00:00:00"/>
    <x v="1"/>
    <s v="Check out our latest reel on youtube!"/>
    <n v="3009"/>
    <n v="413"/>
    <n v="358"/>
    <n v="42126"/>
    <n v="41309"/>
    <n v="211"/>
    <s v="#FutureOfDriving"/>
    <m/>
    <m/>
    <s v="ModelYCampaign"/>
    <n v="8.9730807577268201E-2"/>
  </r>
  <r>
    <x v="2"/>
    <d v="2024-09-29T00:00:00"/>
    <x v="1"/>
    <s v="Check out our latest reel on youtube!"/>
    <n v="2936"/>
    <n v="439"/>
    <n v="44"/>
    <n v="38168"/>
    <n v="37571"/>
    <n v="22"/>
    <s v="#EVRevolution"/>
    <m/>
    <m/>
    <s v="SustainabilityDrive"/>
    <n v="8.9577656675749323E-2"/>
  </r>
  <r>
    <x v="0"/>
    <d v="2024-10-09T00:00:00"/>
    <x v="3"/>
    <s v="Check out our latest carousel on instagram!"/>
    <n v="3068"/>
    <n v="137"/>
    <n v="329"/>
    <n v="39884"/>
    <n v="39404"/>
    <n v="266"/>
    <s v="#EVRevolution"/>
    <m/>
    <m/>
    <s v="ModelYCampaign"/>
    <n v="8.860696018453515E-2"/>
  </r>
  <r>
    <x v="2"/>
    <d v="2025-03-03T00:00:00"/>
    <x v="1"/>
    <s v="Check out our latest reel on youtube!"/>
    <n v="296"/>
    <n v="60"/>
    <n v="141"/>
    <n v="5624"/>
    <n v="5239"/>
    <n v="88"/>
    <s v="#EVRevolution"/>
    <m/>
    <m/>
    <s v="ModelYCampaign"/>
    <n v="8.837126600284495E-2"/>
  </r>
  <r>
    <x v="3"/>
    <d v="2024-08-30T00:00:00"/>
    <x v="5"/>
    <s v="Check out our latest text on facebook!"/>
    <n v="3784"/>
    <n v="808"/>
    <n v="404"/>
    <n v="56760"/>
    <n v="56343"/>
    <n v="131"/>
    <s v="#TeslaCoInnovation"/>
    <m/>
    <m/>
    <s v="ModelYCampaign"/>
    <n v="8.8019732205778717E-2"/>
  </r>
  <r>
    <x v="0"/>
    <d v="2025-02-12T00:00:00"/>
    <x v="0"/>
    <s v="Check out our latest story on instagram!"/>
    <n v="4332"/>
    <n v="771"/>
    <n v="219"/>
    <n v="60648"/>
    <n v="60397"/>
    <n v="10"/>
    <s v="#TeslaCoInnovation"/>
    <s v="#EVRevolution"/>
    <s v="#BetterWithTesla"/>
    <s v="FSDUpdate"/>
    <n v="8.7752275425405618E-2"/>
  </r>
  <r>
    <x v="1"/>
    <d v="2024-07-18T00:00:00"/>
    <x v="4"/>
    <s v="Check out our latest image on twitter!"/>
    <n v="827"/>
    <n v="77"/>
    <n v="402"/>
    <n v="14886"/>
    <n v="14129"/>
    <n v="254"/>
    <s v="#EVRevolution"/>
    <m/>
    <m/>
    <s v="ModelYCampaign"/>
    <n v="8.7733440816874911E-2"/>
  </r>
  <r>
    <x v="0"/>
    <d v="2024-08-13T00:00:00"/>
    <x v="4"/>
    <s v="Check out our latest image on instagram!"/>
    <n v="4739"/>
    <n v="527"/>
    <n v="135"/>
    <n v="61607"/>
    <n v="61333"/>
    <n v="36"/>
    <s v="#TeslaCoInnovation"/>
    <s v="#AnytimeIsTeslaTime"/>
    <m/>
    <s v="ModelYCampaign"/>
    <n v="8.7668609086629767E-2"/>
  </r>
  <r>
    <x v="1"/>
    <d v="2024-08-03T00:00:00"/>
    <x v="1"/>
    <s v="Check out our latest reel on twitter!"/>
    <n v="3791"/>
    <n v="593"/>
    <n v="228"/>
    <n v="53074"/>
    <n v="52613"/>
    <n v="205"/>
    <s v="#EVRevolution"/>
    <m/>
    <m/>
    <m/>
    <n v="8.6897539284772202E-2"/>
  </r>
  <r>
    <x v="3"/>
    <d v="2024-12-09T00:00:00"/>
    <x v="4"/>
    <s v="Check out our latest image on facebook!"/>
    <n v="1841"/>
    <n v="851"/>
    <n v="342"/>
    <n v="34979"/>
    <n v="34154"/>
    <n v="255"/>
    <s v="#FutureOfDriving"/>
    <m/>
    <m/>
    <s v="SustainabilityDrive"/>
    <n v="8.6737756939878216E-2"/>
  </r>
  <r>
    <x v="3"/>
    <d v="2025-04-01T00:00:00"/>
    <x v="0"/>
    <s v="Check out our latest story on facebook!"/>
    <n v="3430"/>
    <n v="566"/>
    <n v="164"/>
    <n v="48020"/>
    <n v="47305"/>
    <n v="120"/>
    <s v="#FutureOfDriving"/>
    <m/>
    <m/>
    <m/>
    <n v="8.6630570595585168E-2"/>
  </r>
  <r>
    <x v="2"/>
    <d v="2024-06-24T00:00:00"/>
    <x v="2"/>
    <s v="Check out our latest video on youtube!"/>
    <n v="2949"/>
    <n v="476"/>
    <n v="403"/>
    <n v="44235"/>
    <n v="43705"/>
    <n v="135"/>
    <s v="#TeslaCoInnovation"/>
    <m/>
    <m/>
    <s v="ModelYCampaign"/>
    <n v="8.6537809426924378E-2"/>
  </r>
  <r>
    <x v="1"/>
    <d v="2024-08-26T00:00:00"/>
    <x v="3"/>
    <s v="Check out our latest carousel on twitter!"/>
    <n v="929"/>
    <n v="192"/>
    <n v="322"/>
    <n v="16722"/>
    <n v="15996"/>
    <n v="145"/>
    <s v="#EVRevolution"/>
    <s v="#TeslaCoInnovation"/>
    <s v="#AnytimeIsTeslaTime"/>
    <s v="FSDUpdate"/>
    <n v="8.6293505561535699E-2"/>
  </r>
  <r>
    <x v="0"/>
    <d v="2025-05-01T00:00:00"/>
    <x v="5"/>
    <s v="Check out our latest text on instagram!"/>
    <n v="1430"/>
    <n v="376"/>
    <n v="33"/>
    <n v="21450"/>
    <n v="20509"/>
    <n v="251"/>
    <s v="#FutureOfDriving"/>
    <m/>
    <m/>
    <s v="CybertruckLaunch"/>
    <n v="8.5734265734265735E-2"/>
  </r>
  <r>
    <x v="0"/>
    <d v="2025-02-04T00:00:00"/>
    <x v="4"/>
    <s v="Check out our latest image on instagram!"/>
    <n v="4619"/>
    <n v="821"/>
    <n v="499"/>
    <n v="69285"/>
    <n v="69141"/>
    <n v="298"/>
    <s v="#TeslaCoInnovation"/>
    <m/>
    <m/>
    <s v="SustainabilityDrive"/>
    <n v="8.5718409468138843E-2"/>
  </r>
  <r>
    <x v="0"/>
    <d v="2024-07-24T00:00:00"/>
    <x v="4"/>
    <s v="Check out our latest image on instagram!"/>
    <n v="725"/>
    <n v="88"/>
    <n v="428"/>
    <n v="14500"/>
    <n v="13637"/>
    <n v="200"/>
    <s v="#FutureOfDriving"/>
    <s v="#TeslaCoInnovation"/>
    <s v="#AnytimeIsTeslaTime"/>
    <s v="FSDUpdate"/>
    <n v="8.558620689655172E-2"/>
  </r>
  <r>
    <x v="2"/>
    <d v="2024-11-30T00:00:00"/>
    <x v="3"/>
    <s v="Check out our latest carousel on youtube!"/>
    <n v="2509"/>
    <n v="324"/>
    <n v="171"/>
    <n v="35126"/>
    <n v="34685"/>
    <n v="277"/>
    <s v="#TeslaCoInnovation"/>
    <m/>
    <m/>
    <s v="ModelYCampaign"/>
    <n v="8.5520696919660646E-2"/>
  </r>
  <r>
    <x v="2"/>
    <d v="2024-06-06T00:00:00"/>
    <x v="1"/>
    <s v="Check out our latest reel on youtube!"/>
    <n v="2728"/>
    <n v="533"/>
    <n v="215"/>
    <n v="40920"/>
    <n v="40816"/>
    <n v="137"/>
    <s v="#FutureOfDriving"/>
    <m/>
    <m/>
    <s v="ModelYCampaign"/>
    <n v="8.4946236559139784E-2"/>
  </r>
  <r>
    <x v="3"/>
    <d v="2024-08-24T00:00:00"/>
    <x v="3"/>
    <s v="Check out our latest carousel on facebook!"/>
    <n v="4292"/>
    <n v="51"/>
    <n v="392"/>
    <n v="55796"/>
    <n v="54826"/>
    <n v="264"/>
    <s v="#EVRevolution"/>
    <m/>
    <m/>
    <s v="FSDUpdate"/>
    <n v="8.4862714173059003E-2"/>
  </r>
  <r>
    <x v="2"/>
    <d v="2024-10-02T00:00:00"/>
    <x v="0"/>
    <s v="Check out our latest story on youtube!"/>
    <n v="4350"/>
    <n v="771"/>
    <n v="7"/>
    <n v="60900"/>
    <n v="60592"/>
    <n v="195"/>
    <s v="#EVRevolution"/>
    <m/>
    <m/>
    <s v="CybertruckLaunch"/>
    <n v="8.4203612479474554E-2"/>
  </r>
  <r>
    <x v="0"/>
    <d v="2025-04-13T00:00:00"/>
    <x v="1"/>
    <s v="Check out our latest reel on instagram!"/>
    <n v="4579"/>
    <n v="125"/>
    <n v="300"/>
    <n v="59527"/>
    <n v="59400"/>
    <n v="269"/>
    <s v="#EVRevolution"/>
    <m/>
    <m/>
    <s v="CybertruckLaunch"/>
    <n v="8.4062694239588759E-2"/>
  </r>
  <r>
    <x v="0"/>
    <d v="2024-12-20T00:00:00"/>
    <x v="3"/>
    <s v="Check out our latest carousel on instagram!"/>
    <n v="2107"/>
    <n v="550"/>
    <n v="349"/>
    <n v="35819"/>
    <n v="35340"/>
    <n v="191"/>
    <s v="#EVRevolution"/>
    <m/>
    <m/>
    <s v="SustainabilityDrive"/>
    <n v="8.3921940869371006E-2"/>
  </r>
  <r>
    <x v="1"/>
    <d v="2024-12-22T00:00:00"/>
    <x v="1"/>
    <s v="Check out our latest reel on twitter!"/>
    <n v="1644"/>
    <n v="546"/>
    <n v="150"/>
    <n v="27948"/>
    <n v="27184"/>
    <n v="300"/>
    <s v="#EVRevolution"/>
    <m/>
    <m/>
    <s v="FSDUpdate"/>
    <n v="8.3726921425504502E-2"/>
  </r>
  <r>
    <x v="1"/>
    <d v="2024-08-31T00:00:00"/>
    <x v="3"/>
    <s v="Check out our latest carousel on twitter!"/>
    <n v="4494"/>
    <n v="717"/>
    <n v="45"/>
    <n v="62916"/>
    <n v="62688"/>
    <n v="191"/>
    <s v="#TeslaCoInnovation"/>
    <s v="#EVRevolution"/>
    <s v="#BetterWithTesla"/>
    <s v="CybertruckLaunch"/>
    <n v="8.3539958039290485E-2"/>
  </r>
  <r>
    <x v="2"/>
    <d v="2024-10-21T00:00:00"/>
    <x v="2"/>
    <s v="Check out our latest video on youtube!"/>
    <n v="4275"/>
    <n v="680"/>
    <n v="385"/>
    <n v="64125"/>
    <n v="63650"/>
    <n v="104"/>
    <s v="#EVRevolution"/>
    <s v="#TeslaCoInnovation"/>
    <s v="#AnytimeIsTeslaTime"/>
    <s v="SustainabilityDrive"/>
    <n v="8.3274853801169585E-2"/>
  </r>
  <r>
    <x v="0"/>
    <d v="2024-10-27T00:00:00"/>
    <x v="4"/>
    <s v="Check out our latest image on instagram!"/>
    <n v="4853"/>
    <n v="837"/>
    <n v="340"/>
    <n v="72795"/>
    <n v="72237"/>
    <n v="170"/>
    <s v="#EVRevolution"/>
    <m/>
    <m/>
    <s v="CybertruckLaunch"/>
    <n v="8.2835359571399134E-2"/>
  </r>
  <r>
    <x v="1"/>
    <d v="2025-03-19T00:00:00"/>
    <x v="2"/>
    <s v="Check out our latest video on twitter!"/>
    <n v="3160"/>
    <n v="204"/>
    <n v="297"/>
    <n v="44240"/>
    <n v="43666"/>
    <n v="49"/>
    <s v="#FutureOfDriving"/>
    <s v="#AnytimeIsTeslaTime"/>
    <m/>
    <s v="SustainabilityDrive"/>
    <n v="8.2753164556962022E-2"/>
  </r>
  <r>
    <x v="3"/>
    <d v="2025-05-01T00:00:00"/>
    <x v="3"/>
    <s v="Check out our latest carousel on facebook!"/>
    <n v="2696"/>
    <n v="628"/>
    <n v="443"/>
    <n v="45832"/>
    <n v="45632"/>
    <n v="248"/>
    <s v="#EVRevolution"/>
    <m/>
    <m/>
    <s v="SustainabilityDrive"/>
    <n v="8.21914819340199E-2"/>
  </r>
  <r>
    <x v="3"/>
    <d v="2024-06-02T00:00:00"/>
    <x v="4"/>
    <s v="Check out our latest image on facebook!"/>
    <n v="1871"/>
    <n v="252"/>
    <n v="335"/>
    <n v="29936"/>
    <n v="29576"/>
    <n v="288"/>
    <s v="#EVRevolution"/>
    <m/>
    <m/>
    <s v="FSDUpdate"/>
    <n v="8.2108498129342594E-2"/>
  </r>
  <r>
    <x v="1"/>
    <d v="2024-06-17T00:00:00"/>
    <x v="4"/>
    <s v="Check out our latest image on twitter!"/>
    <n v="954"/>
    <n v="324"/>
    <n v="288"/>
    <n v="19080"/>
    <n v="18859"/>
    <n v="21"/>
    <s v="#FutureOfDriving"/>
    <m/>
    <m/>
    <s v="SustainabilityDrive"/>
    <n v="8.2075471698113203E-2"/>
  </r>
  <r>
    <x v="3"/>
    <d v="2024-08-17T00:00:00"/>
    <x v="4"/>
    <s v="Check out our latest image on facebook!"/>
    <n v="2878"/>
    <n v="248"/>
    <n v="416"/>
    <n v="43170"/>
    <n v="42667"/>
    <n v="75"/>
    <s v="#FutureOfDriving"/>
    <m/>
    <m/>
    <s v="FSDUpdate"/>
    <n v="8.2047718322909427E-2"/>
  </r>
  <r>
    <x v="0"/>
    <d v="2024-07-01T00:00:00"/>
    <x v="0"/>
    <s v="Check out our latest story on instagram!"/>
    <n v="4808"/>
    <n v="772"/>
    <n v="320"/>
    <n v="72120"/>
    <n v="71696"/>
    <n v="195"/>
    <s v="#EVRevolution"/>
    <m/>
    <m/>
    <s v="CybertruckLaunch"/>
    <n v="8.1808097615085965E-2"/>
  </r>
  <r>
    <x v="1"/>
    <d v="2024-11-07T00:00:00"/>
    <x v="0"/>
    <s v="Check out our latest story on twitter!"/>
    <n v="1121"/>
    <n v="135"/>
    <n v="18"/>
    <n v="15694"/>
    <n v="14957"/>
    <n v="99"/>
    <s v="#TeslaCoInnovation"/>
    <m/>
    <m/>
    <s v="SustainabilityDrive"/>
    <n v="8.1177520071364848E-2"/>
  </r>
  <r>
    <x v="1"/>
    <d v="2024-10-21T00:00:00"/>
    <x v="2"/>
    <s v="Check out our latest video on twitter!"/>
    <n v="2825"/>
    <n v="535"/>
    <n v="295"/>
    <n v="45200"/>
    <n v="44739"/>
    <n v="169"/>
    <s v="#TeslaCoInnovation"/>
    <m/>
    <m/>
    <s v="CybertruckLaunch"/>
    <n v="8.0862831858407078E-2"/>
  </r>
  <r>
    <x v="0"/>
    <d v="2024-10-02T00:00:00"/>
    <x v="5"/>
    <s v="Check out our latest text on instagram!"/>
    <n v="3432"/>
    <n v="869"/>
    <n v="123"/>
    <n v="54912"/>
    <n v="53916"/>
    <n v="264"/>
    <s v="#EVRevolution"/>
    <m/>
    <m/>
    <s v="ModelYCampaign"/>
    <n v="8.0565268065268064E-2"/>
  </r>
  <r>
    <x v="3"/>
    <d v="2025-02-27T00:00:00"/>
    <x v="5"/>
    <s v="Check out our latest text on facebook!"/>
    <n v="1570"/>
    <n v="187"/>
    <n v="260"/>
    <n v="25120"/>
    <n v="24613"/>
    <n v="133"/>
    <s v="#TeslaCoInnovation"/>
    <m/>
    <m/>
    <s v="SustainabilityDrive"/>
    <n v="8.0294585987261149E-2"/>
  </r>
  <r>
    <x v="3"/>
    <d v="2024-11-04T00:00:00"/>
    <x v="4"/>
    <s v="Check out our latest image on facebook!"/>
    <n v="4551"/>
    <n v="714"/>
    <n v="207"/>
    <n v="68265"/>
    <n v="67754"/>
    <n v="57"/>
    <s v="#FutureOfDriving"/>
    <m/>
    <m/>
    <s v="FSDUpdate"/>
    <n v="8.0158206987475278E-2"/>
  </r>
  <r>
    <x v="3"/>
    <d v="2025-04-06T00:00:00"/>
    <x v="4"/>
    <s v="Check out our latest image on facebook!"/>
    <n v="3090"/>
    <n v="697"/>
    <n v="164"/>
    <n v="49440"/>
    <n v="48524"/>
    <n v="25"/>
    <s v="#EVRevolution"/>
    <s v="#EVRevolution"/>
    <s v="#BetterWithTesla"/>
    <s v="ModelYCampaign"/>
    <n v="7.9915048543689318E-2"/>
  </r>
  <r>
    <x v="3"/>
    <d v="2025-03-24T00:00:00"/>
    <x v="4"/>
    <s v="Check out our latest image on facebook!"/>
    <n v="1263"/>
    <n v="397"/>
    <n v="357"/>
    <n v="25260"/>
    <n v="24615"/>
    <n v="137"/>
    <s v="#EVRevolution"/>
    <m/>
    <m/>
    <s v="SustainabilityDrive"/>
    <n v="7.984956452889945E-2"/>
  </r>
  <r>
    <x v="1"/>
    <d v="2025-01-01T00:00:00"/>
    <x v="3"/>
    <s v="Check out our latest carousel on twitter!"/>
    <n v="3535"/>
    <n v="494"/>
    <n v="152"/>
    <n v="53025"/>
    <n v="52791"/>
    <n v="44"/>
    <s v="#TeslaCoInnovation"/>
    <m/>
    <m/>
    <s v="SustainabilityDrive"/>
    <n v="7.8849599245638849E-2"/>
  </r>
  <r>
    <x v="3"/>
    <d v="2024-06-13T00:00:00"/>
    <x v="3"/>
    <s v="Check out our latest carousel on facebook!"/>
    <n v="2200"/>
    <n v="504"/>
    <n v="239"/>
    <n v="37400"/>
    <n v="36938"/>
    <n v="225"/>
    <s v="#FutureOfDriving"/>
    <m/>
    <m/>
    <s v="ModelYCampaign"/>
    <n v="7.8689839572192513E-2"/>
  </r>
  <r>
    <x v="0"/>
    <d v="2024-06-13T00:00:00"/>
    <x v="0"/>
    <s v="Check out our latest story on instagram!"/>
    <n v="2103"/>
    <n v="892"/>
    <n v="103"/>
    <n v="39957"/>
    <n v="39466"/>
    <n v="28"/>
    <s v="#FutureOfDriving"/>
    <m/>
    <m/>
    <m/>
    <n v="7.7533348349475686E-2"/>
  </r>
  <r>
    <x v="3"/>
    <d v="2024-07-15T00:00:00"/>
    <x v="1"/>
    <s v="Check out our latest reel on facebook!"/>
    <n v="3663"/>
    <n v="17"/>
    <n v="295"/>
    <n v="51282"/>
    <n v="50567"/>
    <n v="84"/>
    <s v="#EVRevolution"/>
    <m/>
    <m/>
    <s v="FSDUpdate"/>
    <n v="7.7512577512577507E-2"/>
  </r>
  <r>
    <x v="1"/>
    <d v="2024-06-16T00:00:00"/>
    <x v="2"/>
    <s v="Check out our latest video on twitter!"/>
    <n v="1702"/>
    <n v="750"/>
    <n v="179"/>
    <n v="34040"/>
    <n v="33174"/>
    <n v="76"/>
    <s v="#EVRevolution"/>
    <m/>
    <m/>
    <s v="CybertruckLaunch"/>
    <n v="7.7291421856639245E-2"/>
  </r>
  <r>
    <x v="0"/>
    <d v="2025-01-04T00:00:00"/>
    <x v="1"/>
    <s v="Check out our latest reel on instagram!"/>
    <n v="4838"/>
    <n v="640"/>
    <n v="128"/>
    <n v="72570"/>
    <n v="72396"/>
    <n v="83"/>
    <s v="#FutureOfDriving"/>
    <m/>
    <m/>
    <s v="SustainabilityDrive"/>
    <n v="7.7249552156538517E-2"/>
  </r>
  <r>
    <x v="3"/>
    <d v="2024-11-06T00:00:00"/>
    <x v="2"/>
    <s v="Check out our latest video on facebook!"/>
    <n v="1606"/>
    <n v="547"/>
    <n v="316"/>
    <n v="32120"/>
    <n v="31736"/>
    <n v="225"/>
    <s v="#TeslaCoInnovation"/>
    <s v="#AnytimeIsTeslaTime"/>
    <m/>
    <s v="ModelYCampaign"/>
    <n v="7.6867995018679955E-2"/>
  </r>
  <r>
    <x v="0"/>
    <d v="2025-04-19T00:00:00"/>
    <x v="0"/>
    <s v="Check out our latest story on instagram!"/>
    <n v="4518"/>
    <n v="285"/>
    <n v="383"/>
    <n v="67770"/>
    <n v="67621"/>
    <n v="31"/>
    <s v="#EVRevolution"/>
    <m/>
    <m/>
    <s v="ModelYCampaign"/>
    <n v="7.6523535487678915E-2"/>
  </r>
  <r>
    <x v="1"/>
    <d v="2025-04-03T00:00:00"/>
    <x v="5"/>
    <s v="Check out our latest text on twitter!"/>
    <n v="4054"/>
    <n v="389"/>
    <n v="493"/>
    <n v="64864"/>
    <n v="64383"/>
    <n v="117"/>
    <s v="#TeslaCoInnovation"/>
    <s v="#BetterWithTesla"/>
    <m/>
    <s v="ModelYCampaign"/>
    <n v="7.6097681302417369E-2"/>
  </r>
  <r>
    <x v="3"/>
    <d v="2024-06-01T00:00:00"/>
    <x v="5"/>
    <s v="Check out our latest text on facebook!"/>
    <n v="1272"/>
    <n v="465"/>
    <n v="99"/>
    <n v="24168"/>
    <n v="23719"/>
    <n v="42"/>
    <s v="#TeslaCoInnovation"/>
    <m/>
    <m/>
    <m/>
    <n v="7.5968222442899705E-2"/>
  </r>
  <r>
    <x v="2"/>
    <d v="2024-11-18T00:00:00"/>
    <x v="3"/>
    <s v="Check out our latest carousel on youtube!"/>
    <n v="1171"/>
    <n v="286"/>
    <n v="231"/>
    <n v="22249"/>
    <n v="21282"/>
    <n v="114"/>
    <s v="#EVRevolution"/>
    <m/>
    <m/>
    <s v="CybertruckLaunch"/>
    <n v="7.5868578363072495E-2"/>
  </r>
  <r>
    <x v="3"/>
    <d v="2024-08-26T00:00:00"/>
    <x v="5"/>
    <s v="Check out our latest text on facebook!"/>
    <n v="3452"/>
    <n v="377"/>
    <n v="360"/>
    <n v="55232"/>
    <n v="55075"/>
    <n v="87"/>
    <s v="#FutureOfDriving"/>
    <m/>
    <m/>
    <s v="FSDUpdate"/>
    <n v="7.5843713789107758E-2"/>
  </r>
  <r>
    <x v="3"/>
    <d v="2024-07-15T00:00:00"/>
    <x v="3"/>
    <s v="Check out our latest carousel on facebook!"/>
    <n v="3796"/>
    <n v="667"/>
    <n v="395"/>
    <n v="64532"/>
    <n v="63550"/>
    <n v="292"/>
    <s v="#TeslaCoInnovation"/>
    <m/>
    <m/>
    <m/>
    <n v="7.5280481001673588E-2"/>
  </r>
  <r>
    <x v="3"/>
    <d v="2024-11-01T00:00:00"/>
    <x v="2"/>
    <s v="Check out our latest video on facebook!"/>
    <n v="3371"/>
    <n v="106"/>
    <n v="327"/>
    <n v="50565"/>
    <n v="49816"/>
    <n v="176"/>
    <s v="#FutureOfDriving"/>
    <m/>
    <m/>
    <s v="CybertruckLaunch"/>
    <n v="7.5229902106199939E-2"/>
  </r>
  <r>
    <x v="3"/>
    <d v="2024-11-12T00:00:00"/>
    <x v="5"/>
    <s v="Check out our latest text on facebook!"/>
    <n v="2418"/>
    <n v="754"/>
    <n v="54"/>
    <n v="43524"/>
    <n v="42743"/>
    <n v="182"/>
    <s v="#EVRevolution"/>
    <m/>
    <m/>
    <s v="CybertruckLaunch"/>
    <n v="7.412002573292896E-2"/>
  </r>
  <r>
    <x v="2"/>
    <d v="2024-11-23T00:00:00"/>
    <x v="4"/>
    <s v="Check out our latest image on youtube!"/>
    <n v="2719"/>
    <n v="17"/>
    <n v="285"/>
    <n v="40785"/>
    <n v="40281"/>
    <n v="40"/>
    <s v="#TeslaCoInnovation"/>
    <m/>
    <m/>
    <s v="ModelYCampaign"/>
    <n v="7.4071349760941527E-2"/>
  </r>
  <r>
    <x v="2"/>
    <d v="2024-10-18T00:00:00"/>
    <x v="2"/>
    <s v="Check out our latest video on youtube!"/>
    <n v="4450"/>
    <n v="983"/>
    <n v="143"/>
    <n v="75650"/>
    <n v="75008"/>
    <n v="12"/>
    <s v="#FutureOfDriving"/>
    <m/>
    <m/>
    <s v="FSDUpdate"/>
    <n v="7.3707865168539333E-2"/>
  </r>
  <r>
    <x v="1"/>
    <d v="2025-03-11T00:00:00"/>
    <x v="0"/>
    <s v="Check out our latest story on twitter!"/>
    <n v="1950"/>
    <n v="295"/>
    <n v="478"/>
    <n v="37050"/>
    <n v="36272"/>
    <n v="119"/>
    <s v="#TeslaCoInnovation"/>
    <m/>
    <m/>
    <m/>
    <n v="7.349527665317139E-2"/>
  </r>
  <r>
    <x v="3"/>
    <d v="2024-06-22T00:00:00"/>
    <x v="1"/>
    <s v="Check out our latest reel on facebook!"/>
    <n v="3813"/>
    <n v="935"/>
    <n v="274"/>
    <n v="68634"/>
    <n v="68488"/>
    <n v="251"/>
    <s v="#FutureOfDriving"/>
    <m/>
    <m/>
    <m/>
    <n v="7.3170731707317069E-2"/>
  </r>
  <r>
    <x v="3"/>
    <d v="2024-11-28T00:00:00"/>
    <x v="3"/>
    <s v="Check out our latest carousel on facebook!"/>
    <n v="2751"/>
    <n v="33"/>
    <n v="430"/>
    <n v="44016"/>
    <n v="43415"/>
    <n v="129"/>
    <s v="#FutureOfDriving"/>
    <m/>
    <m/>
    <m/>
    <n v="7.3018902217375503E-2"/>
  </r>
  <r>
    <x v="3"/>
    <d v="2025-03-08T00:00:00"/>
    <x v="4"/>
    <s v="Check out our latest image on facebook!"/>
    <n v="2382"/>
    <n v="265"/>
    <n v="134"/>
    <n v="38112"/>
    <n v="37437"/>
    <n v="249"/>
    <s v="#FutureOfDriving"/>
    <m/>
    <m/>
    <s v="SustainabilityDrive"/>
    <n v="7.2969143576826198E-2"/>
  </r>
  <r>
    <x v="3"/>
    <d v="2024-08-14T00:00:00"/>
    <x v="3"/>
    <s v="Check out our latest carousel on facebook!"/>
    <n v="3073"/>
    <n v="553"/>
    <n v="174"/>
    <n v="52241"/>
    <n v="51605"/>
    <n v="246"/>
    <s v="#EVRevolution"/>
    <m/>
    <m/>
    <s v="FSDUpdate"/>
    <n v="7.2739802071170159E-2"/>
  </r>
  <r>
    <x v="1"/>
    <d v="2024-07-16T00:00:00"/>
    <x v="5"/>
    <s v="Check out our latest text on twitter!"/>
    <n v="4725"/>
    <n v="400"/>
    <n v="362"/>
    <n v="75600"/>
    <n v="74927"/>
    <n v="43"/>
    <s v="#FutureOfDriving"/>
    <m/>
    <m/>
    <s v="SustainabilityDrive"/>
    <n v="7.2579365079365077E-2"/>
  </r>
  <r>
    <x v="3"/>
    <d v="2025-03-24T00:00:00"/>
    <x v="1"/>
    <s v="Check out our latest reel on facebook!"/>
    <n v="3360"/>
    <n v="525"/>
    <n v="500"/>
    <n v="60480"/>
    <n v="59610"/>
    <n v="192"/>
    <s v="#TeslaCoInnovation"/>
    <m/>
    <m/>
    <s v="CybertruckLaunch"/>
    <n v="7.2503306878306875E-2"/>
  </r>
  <r>
    <x v="3"/>
    <d v="2024-11-25T00:00:00"/>
    <x v="4"/>
    <s v="Check out our latest image on facebook!"/>
    <n v="3564"/>
    <n v="629"/>
    <n v="177"/>
    <n v="60588"/>
    <n v="59627"/>
    <n v="92"/>
    <s v="#TeslaCoInnovation"/>
    <m/>
    <m/>
    <m/>
    <n v="7.2126493695121141E-2"/>
  </r>
  <r>
    <x v="3"/>
    <d v="2025-05-06T00:00:00"/>
    <x v="4"/>
    <s v="Check out our latest image on facebook!"/>
    <n v="4872"/>
    <n v="925"/>
    <n v="176"/>
    <n v="82824"/>
    <n v="82543"/>
    <n v="89"/>
    <s v="#EVRevolution"/>
    <m/>
    <m/>
    <s v="ModelYCampaign"/>
    <n v="7.2116777745580993E-2"/>
  </r>
  <r>
    <x v="3"/>
    <d v="2025-01-23T00:00:00"/>
    <x v="2"/>
    <s v="Check out our latest video on facebook!"/>
    <n v="3961"/>
    <n v="761"/>
    <n v="131"/>
    <n v="67337"/>
    <n v="66615"/>
    <n v="161"/>
    <s v="#FutureOfDriving"/>
    <m/>
    <m/>
    <s v="FSDUpdate"/>
    <n v="7.2070332803659209E-2"/>
  </r>
  <r>
    <x v="2"/>
    <d v="2024-07-02T00:00:00"/>
    <x v="3"/>
    <s v="Check out our latest carousel on youtube!"/>
    <n v="4171"/>
    <n v="548"/>
    <n v="86"/>
    <n v="66736"/>
    <n v="66634"/>
    <n v="173"/>
    <s v="#FutureOfDriving"/>
    <m/>
    <m/>
    <s v="FSDUpdate"/>
    <n v="7.2000119875329657E-2"/>
  </r>
  <r>
    <x v="3"/>
    <d v="2025-03-11T00:00:00"/>
    <x v="4"/>
    <s v="Check out our latest image on facebook!"/>
    <n v="4241"/>
    <n v="902"/>
    <n v="47"/>
    <n v="72097"/>
    <n v="71598"/>
    <n v="167"/>
    <s v="#TeslaCoInnovation"/>
    <m/>
    <m/>
    <s v="ModelYCampaign"/>
    <n v="7.198635172059864E-2"/>
  </r>
  <r>
    <x v="3"/>
    <d v="2024-11-06T00:00:00"/>
    <x v="2"/>
    <s v="Check out our latest video on facebook!"/>
    <n v="4663"/>
    <n v="145"/>
    <n v="225"/>
    <n v="69945"/>
    <n v="69596"/>
    <n v="35"/>
    <s v="#EVRevolution"/>
    <m/>
    <m/>
    <s v="SustainabilityDrive"/>
    <n v="7.1956537279290869E-2"/>
  </r>
  <r>
    <x v="3"/>
    <d v="2025-02-06T00:00:00"/>
    <x v="4"/>
    <s v="Check out our latest image on facebook!"/>
    <n v="2072"/>
    <n v="532"/>
    <n v="71"/>
    <n v="37296"/>
    <n v="36467"/>
    <n v="25"/>
    <s v="#TeslaCoInnovation"/>
    <m/>
    <m/>
    <s v="SustainabilityDrive"/>
    <n v="7.172350922350923E-2"/>
  </r>
  <r>
    <x v="2"/>
    <d v="2024-09-17T00:00:00"/>
    <x v="5"/>
    <s v="Check out our latest text on youtube!"/>
    <n v="2076"/>
    <n v="195"/>
    <n v="104"/>
    <n v="33216"/>
    <n v="32244"/>
    <n v="51"/>
    <s v="#FutureOfDriving"/>
    <m/>
    <m/>
    <s v="SustainabilityDrive"/>
    <n v="7.1501685934489398E-2"/>
  </r>
  <r>
    <x v="1"/>
    <d v="2025-04-24T00:00:00"/>
    <x v="1"/>
    <s v="Check out our latest reel on twitter!"/>
    <n v="3731"/>
    <n v="115"/>
    <n v="135"/>
    <n v="55965"/>
    <n v="55436"/>
    <n v="103"/>
    <s v="#TeslaCoInnovation"/>
    <m/>
    <m/>
    <s v="CybertruckLaunch"/>
    <n v="7.1133744304476013E-2"/>
  </r>
  <r>
    <x v="0"/>
    <d v="2024-06-03T00:00:00"/>
    <x v="4"/>
    <s v="Check out our latest image on instagram!"/>
    <n v="3861"/>
    <n v="960"/>
    <n v="101"/>
    <n v="69498"/>
    <n v="68817"/>
    <n v="297"/>
    <s v="#TeslaCoInnovation"/>
    <m/>
    <m/>
    <s v="SustainabilityDrive"/>
    <n v="7.0822181933293038E-2"/>
  </r>
  <r>
    <x v="3"/>
    <d v="2025-03-26T00:00:00"/>
    <x v="5"/>
    <s v="Check out our latest text on facebook!"/>
    <n v="1652"/>
    <n v="89"/>
    <n v="357"/>
    <n v="29736"/>
    <n v="28771"/>
    <n v="215"/>
    <s v="#TeslaCoInnovation"/>
    <m/>
    <m/>
    <s v="FSDUpdate"/>
    <n v="7.055421038471886E-2"/>
  </r>
  <r>
    <x v="1"/>
    <d v="2024-06-24T00:00:00"/>
    <x v="3"/>
    <s v="Check out our latest carousel on twitter!"/>
    <n v="3860"/>
    <n v="201"/>
    <n v="279"/>
    <n v="61760"/>
    <n v="61660"/>
    <n v="235"/>
    <s v="#TeslaCoInnovation"/>
    <m/>
    <m/>
    <s v="ModelYCampaign"/>
    <n v="7.0272020725388601E-2"/>
  </r>
  <r>
    <x v="2"/>
    <d v="2025-03-25T00:00:00"/>
    <x v="0"/>
    <s v="Check out our latest story on youtube!"/>
    <n v="2070"/>
    <n v="275"/>
    <n v="386"/>
    <n v="39330"/>
    <n v="38627"/>
    <n v="114"/>
    <s v="#FutureOfDriving"/>
    <m/>
    <m/>
    <s v="SustainabilityDrive"/>
    <n v="6.9438087973557078E-2"/>
  </r>
  <r>
    <x v="3"/>
    <d v="2025-01-27T00:00:00"/>
    <x v="1"/>
    <s v="Check out our latest reel on facebook!"/>
    <n v="3452"/>
    <n v="652"/>
    <n v="442"/>
    <n v="65588"/>
    <n v="65049"/>
    <n v="158"/>
    <s v="#FutureOfDriving"/>
    <m/>
    <m/>
    <s v="FSDUpdate"/>
    <n v="6.9311459413307311E-2"/>
  </r>
  <r>
    <x v="1"/>
    <d v="2025-04-28T00:00:00"/>
    <x v="5"/>
    <s v="Check out our latest text on twitter!"/>
    <n v="3577"/>
    <n v="596"/>
    <n v="493"/>
    <n v="67963"/>
    <n v="67839"/>
    <n v="53"/>
    <s v="#TeslaCoInnovation"/>
    <m/>
    <m/>
    <s v="FSDUpdate"/>
    <n v="6.8655003457763777E-2"/>
  </r>
  <r>
    <x v="0"/>
    <d v="2024-11-08T00:00:00"/>
    <x v="5"/>
    <s v="Check out our latest text on instagram!"/>
    <n v="3182"/>
    <n v="559"/>
    <n v="160"/>
    <n v="57276"/>
    <n v="56890"/>
    <n v="163"/>
    <s v="#FutureOfDriving"/>
    <m/>
    <m/>
    <s v="SustainabilityDrive"/>
    <n v="6.8108806480899509E-2"/>
  </r>
  <r>
    <x v="2"/>
    <d v="2025-04-17T00:00:00"/>
    <x v="3"/>
    <s v="Check out our latest carousel on youtube!"/>
    <n v="4780"/>
    <n v="691"/>
    <n v="380"/>
    <n v="86040"/>
    <n v="85743"/>
    <n v="262"/>
    <s v="#FutureOfDriving"/>
    <m/>
    <m/>
    <s v="FSDUpdate"/>
    <n v="6.800325430032543E-2"/>
  </r>
  <r>
    <x v="0"/>
    <d v="2024-10-22T00:00:00"/>
    <x v="0"/>
    <s v="Check out our latest story on instagram!"/>
    <n v="3770"/>
    <n v="917"/>
    <n v="129"/>
    <n v="71630"/>
    <n v="71322"/>
    <n v="76"/>
    <s v="#FutureOfDriving"/>
    <m/>
    <m/>
    <s v="CybertruckLaunch"/>
    <n v="6.7234398994834563E-2"/>
  </r>
  <r>
    <x v="2"/>
    <d v="2025-01-15T00:00:00"/>
    <x v="1"/>
    <s v="Check out our latest reel on youtube!"/>
    <n v="3774"/>
    <n v="239"/>
    <n v="39"/>
    <n v="60384"/>
    <n v="59490"/>
    <n v="241"/>
    <s v="#TeslaCoInnovation"/>
    <m/>
    <m/>
    <s v="FSDUpdate"/>
    <n v="6.7103868574456813E-2"/>
  </r>
  <r>
    <x v="2"/>
    <d v="2024-06-26T00:00:00"/>
    <x v="1"/>
    <s v="Check out our latest reel on youtube!"/>
    <n v="3557"/>
    <n v="687"/>
    <n v="424"/>
    <n v="71140"/>
    <n v="70701"/>
    <n v="224"/>
    <s v="#EVRevolution"/>
    <s v="#TeslaCoInnovation"/>
    <m/>
    <s v="CybertruckLaunch"/>
    <n v="6.5617093055946027E-2"/>
  </r>
  <r>
    <x v="2"/>
    <d v="2025-01-27T00:00:00"/>
    <x v="5"/>
    <s v="Check out our latest text on youtube!"/>
    <n v="3428"/>
    <n v="305"/>
    <n v="85"/>
    <n v="58276"/>
    <n v="58052"/>
    <n v="242"/>
    <s v="#EVRevolution"/>
    <s v="#BetterWithTesla"/>
    <m/>
    <s v="SustainabilityDrive"/>
    <n v="6.5515821264328367E-2"/>
  </r>
  <r>
    <x v="2"/>
    <d v="2024-10-28T00:00:00"/>
    <x v="0"/>
    <s v="Check out our latest story on youtube!"/>
    <n v="4929"/>
    <n v="749"/>
    <n v="452"/>
    <n v="93651"/>
    <n v="92810"/>
    <n v="66"/>
    <s v="#EVRevolution"/>
    <m/>
    <m/>
    <s v="SustainabilityDrive"/>
    <n v="6.5455787978772245E-2"/>
  </r>
  <r>
    <x v="1"/>
    <d v="2024-10-22T00:00:00"/>
    <x v="1"/>
    <s v="Check out our latest reel on twitter!"/>
    <n v="4782"/>
    <n v="721"/>
    <n v="82"/>
    <n v="86076"/>
    <n v="85339"/>
    <n v="19"/>
    <s v="#EVRevolution"/>
    <m/>
    <m/>
    <s v="CybertruckLaunch"/>
    <n v="6.4884520656164318E-2"/>
  </r>
  <r>
    <x v="3"/>
    <d v="2024-11-28T00:00:00"/>
    <x v="5"/>
    <s v="Check out our latest text on facebook!"/>
    <n v="4213"/>
    <n v="253"/>
    <n v="434"/>
    <n v="75834"/>
    <n v="75437"/>
    <n v="272"/>
    <s v="#FutureOfDriving"/>
    <m/>
    <m/>
    <s v="SustainabilityDrive"/>
    <n v="6.461481657304112E-2"/>
  </r>
  <r>
    <x v="3"/>
    <d v="2024-10-18T00:00:00"/>
    <x v="0"/>
    <s v="Check out our latest story on facebook!"/>
    <n v="4126"/>
    <n v="426"/>
    <n v="486"/>
    <n v="78394"/>
    <n v="77798"/>
    <n v="88"/>
    <s v="#FutureOfDriving"/>
    <m/>
    <m/>
    <s v="SustainabilityDrive"/>
    <n v="6.4265122330790625E-2"/>
  </r>
  <r>
    <x v="1"/>
    <d v="2024-10-04T00:00:00"/>
    <x v="1"/>
    <s v="Check out our latest reel on twitter!"/>
    <n v="4187"/>
    <n v="66"/>
    <n v="31"/>
    <n v="66992"/>
    <n v="66614"/>
    <n v="62"/>
    <s v="#FutureOfDriving"/>
    <m/>
    <m/>
    <m/>
    <n v="6.3947934081681396E-2"/>
  </r>
  <r>
    <x v="0"/>
    <d v="2024-09-09T00:00:00"/>
    <x v="3"/>
    <s v="Check out our latest carousel on instagram!"/>
    <n v="4054"/>
    <n v="488"/>
    <n v="373"/>
    <n v="77026"/>
    <n v="76881"/>
    <n v="25"/>
    <s v="#TeslaCoInnovation"/>
    <m/>
    <m/>
    <s v="CybertruckLaunch"/>
    <n v="6.3809622724794221E-2"/>
  </r>
  <r>
    <x v="3"/>
    <d v="2025-03-29T00:00:00"/>
    <x v="3"/>
    <s v="Check out our latest carousel on facebook!"/>
    <n v="4712"/>
    <n v="568"/>
    <n v="127"/>
    <n v="84816"/>
    <n v="84691"/>
    <n v="100"/>
    <s v="#EVRevolution"/>
    <m/>
    <m/>
    <s v="FSDUpdate"/>
    <n v="6.3749764195434822E-2"/>
  </r>
  <r>
    <x v="2"/>
    <d v="2024-08-22T00:00:00"/>
    <x v="3"/>
    <s v="Check out our latest carousel on youtube!"/>
    <n v="4295"/>
    <n v="853"/>
    <n v="325"/>
    <n v="85900"/>
    <n v="85788"/>
    <n v="290"/>
    <s v="#TeslaCoInnovation"/>
    <m/>
    <m/>
    <s v="SustainabilityDrive"/>
    <n v="6.3713620488940623E-2"/>
  </r>
  <r>
    <x v="2"/>
    <d v="2025-03-22T00:00:00"/>
    <x v="4"/>
    <s v="Check out our latest image on youtube!"/>
    <n v="3166"/>
    <n v="90"/>
    <n v="341"/>
    <n v="56988"/>
    <n v="56125"/>
    <n v="135"/>
    <s v="#EVRevolution"/>
    <m/>
    <m/>
    <s v="ModelYCampaign"/>
    <n v="6.3118551273952411E-2"/>
  </r>
  <r>
    <x v="3"/>
    <d v="2024-12-03T00:00:00"/>
    <x v="4"/>
    <s v="Check out our latest image on facebook!"/>
    <n v="4606"/>
    <n v="931"/>
    <n v="230"/>
    <n v="92120"/>
    <n v="91440"/>
    <n v="56"/>
    <s v="#TeslaCoInnovation"/>
    <m/>
    <m/>
    <m/>
    <n v="6.2603126356925748E-2"/>
  </r>
  <r>
    <x v="3"/>
    <d v="2025-04-07T00:00:00"/>
    <x v="1"/>
    <s v="Check out our latest reel on facebook!"/>
    <n v="3718"/>
    <n v="385"/>
    <n v="310"/>
    <n v="70642"/>
    <n v="69749"/>
    <n v="233"/>
    <s v="#TeslaCoInnovation"/>
    <m/>
    <m/>
    <s v="ModelYCampaign"/>
    <n v="6.246991874522239E-2"/>
  </r>
  <r>
    <x v="2"/>
    <d v="2024-06-21T00:00:00"/>
    <x v="4"/>
    <s v="Check out our latest image on youtube!"/>
    <n v="4832"/>
    <n v="893"/>
    <n v="10"/>
    <n v="91808"/>
    <n v="91296"/>
    <n v="182"/>
    <s v="#TeslaCoInnovation"/>
    <m/>
    <m/>
    <m/>
    <n v="6.2467323109097243E-2"/>
  </r>
  <r>
    <x v="1"/>
    <d v="2025-05-11T00:00:00"/>
    <x v="4"/>
    <s v="Check out our latest image on twitter!"/>
    <n v="2493"/>
    <n v="97"/>
    <n v="44"/>
    <n v="42381"/>
    <n v="41991"/>
    <n v="242"/>
    <s v="#TeslaCoInnovation"/>
    <s v="#AnytimeIsTeslaTime"/>
    <m/>
    <s v="SustainabilityDrive"/>
    <n v="6.2150491965739366E-2"/>
  </r>
  <r>
    <x v="1"/>
    <d v="2024-11-12T00:00:00"/>
    <x v="4"/>
    <s v="Check out our latest image on twitter!"/>
    <n v="3338"/>
    <n v="277"/>
    <n v="118"/>
    <n v="60084"/>
    <n v="59842"/>
    <n v="252"/>
    <s v="#TeslaCoInnovation"/>
    <m/>
    <m/>
    <m/>
    <n v="6.2129685107516146E-2"/>
  </r>
  <r>
    <x v="2"/>
    <d v="2024-09-02T00:00:00"/>
    <x v="4"/>
    <s v="Check out our latest image on youtube!"/>
    <n v="4905"/>
    <n v="845"/>
    <n v="129"/>
    <n v="98100"/>
    <n v="97772"/>
    <n v="279"/>
    <s v="#TeslaCoInnovation"/>
    <m/>
    <m/>
    <s v="ModelYCampaign"/>
    <n v="5.9928644240570844E-2"/>
  </r>
  <r>
    <x v="1"/>
    <d v="2025-04-10T00:00:00"/>
    <x v="3"/>
    <s v="Check out our latest carousel on twitter!"/>
    <n v="3128"/>
    <n v="211"/>
    <n v="197"/>
    <n v="59432"/>
    <n v="59182"/>
    <n v="238"/>
    <s v="#EVRevolution"/>
    <m/>
    <m/>
    <m/>
    <n v="5.9496567505720827E-2"/>
  </r>
  <r>
    <x v="3"/>
    <d v="2024-10-24T00:00:00"/>
    <x v="2"/>
    <s v="Check out our latest video on facebook!"/>
    <n v="3888"/>
    <n v="604"/>
    <n v="128"/>
    <n v="77760"/>
    <n v="77167"/>
    <n v="20"/>
    <s v="#FutureOfDriving"/>
    <m/>
    <m/>
    <s v="CybertruckLaunch"/>
    <n v="5.941358024691358E-2"/>
  </r>
  <r>
    <x v="1"/>
    <d v="2025-02-11T00:00:00"/>
    <x v="2"/>
    <s v="Check out our latest video on twitter!"/>
    <n v="3440"/>
    <n v="13"/>
    <n v="20"/>
    <n v="58480"/>
    <n v="58146"/>
    <n v="210"/>
    <s v="#TeslaCoInnovation"/>
    <s v="#SmoothLikeNitroTesla"/>
    <m/>
    <s v="SustainabilityDrive"/>
    <n v="5.9387824897400819E-2"/>
  </r>
  <r>
    <x v="3"/>
    <d v="2024-10-24T00:00:00"/>
    <x v="4"/>
    <s v="Check out our latest image on facebook!"/>
    <n v="4303"/>
    <n v="451"/>
    <n v="286"/>
    <n v="86060"/>
    <n v="85823"/>
    <n v="14"/>
    <s v="#TeslaCoInnovation"/>
    <m/>
    <m/>
    <s v="FSDUpdate"/>
    <n v="5.8563792702765516E-2"/>
  </r>
  <r>
    <x v="2"/>
    <d v="2024-07-29T00:00:00"/>
    <x v="0"/>
    <s v="Check out our latest story on youtube!"/>
    <n v="1509"/>
    <n v="88"/>
    <n v="163"/>
    <n v="30180"/>
    <n v="29689"/>
    <n v="119"/>
    <s v="#EVRevolution"/>
    <m/>
    <m/>
    <s v="ModelYCampaign"/>
    <n v="5.8316766070245198E-2"/>
  </r>
  <r>
    <x v="1"/>
    <d v="2025-05-09T00:00:00"/>
    <x v="1"/>
    <s v="Check out our latest reel on twitter!"/>
    <n v="3367"/>
    <n v="302"/>
    <n v="57"/>
    <n v="63973"/>
    <n v="63789"/>
    <n v="157"/>
    <s v="#FutureOfDriving"/>
    <m/>
    <m/>
    <s v="ModelYCampaign"/>
    <n v="5.8243321401216137E-2"/>
  </r>
  <r>
    <x v="2"/>
    <d v="2024-09-18T00:00:00"/>
    <x v="3"/>
    <s v="Check out our latest carousel on youtube!"/>
    <n v="2143"/>
    <n v="12"/>
    <n v="204"/>
    <n v="40717"/>
    <n v="40125"/>
    <n v="248"/>
    <s v="#EVRevolution"/>
    <m/>
    <m/>
    <s v="ModelYCampaign"/>
    <n v="5.7936488444630008E-2"/>
  </r>
  <r>
    <x v="0"/>
    <d v="2025-02-25T00:00:00"/>
    <x v="2"/>
    <s v="Check out our latest video on instagram!"/>
    <n v="3095"/>
    <n v="39"/>
    <n v="78"/>
    <n v="55710"/>
    <n v="54808"/>
    <n v="93"/>
    <s v="#EVRevolution"/>
    <m/>
    <m/>
    <m/>
    <n v="5.7655717106444085E-2"/>
  </r>
  <r>
    <x v="0"/>
    <d v="2024-11-21T00:00:00"/>
    <x v="3"/>
    <s v="Check out our latest carousel on instagram!"/>
    <n v="3773"/>
    <n v="299"/>
    <n v="38"/>
    <n v="71687"/>
    <n v="71447"/>
    <n v="286"/>
    <s v="#FutureOfDriving"/>
    <m/>
    <m/>
    <s v="CybertruckLaunch"/>
    <n v="5.7332570758993957E-2"/>
  </r>
  <r>
    <x v="1"/>
    <d v="2024-06-20T00:00:00"/>
    <x v="3"/>
    <s v="Check out our latest carousel on twitter!"/>
    <n v="4672"/>
    <n v="325"/>
    <n v="32"/>
    <n v="88768"/>
    <n v="87833"/>
    <n v="118"/>
    <s v="#EVRevolution"/>
    <m/>
    <m/>
    <m/>
    <n v="5.6653298485940883E-2"/>
  </r>
  <r>
    <x v="0"/>
    <d v="2024-08-12T00:00:00"/>
    <x v="3"/>
    <s v="Check out our latest carousel on instagram!"/>
    <n v="1878"/>
    <n v="62"/>
    <n v="179"/>
    <n v="37560"/>
    <n v="36874"/>
    <n v="142"/>
    <s v="#TeslaCoInnovation"/>
    <m/>
    <m/>
    <s v="SustainabilityDrive"/>
    <n v="5.6416400425985093E-2"/>
  </r>
  <r>
    <x v="2"/>
    <d v="2024-10-04T00:00:00"/>
    <x v="5"/>
    <s v="Check out our latest text on youtube!"/>
    <n v="1963"/>
    <n v="213"/>
    <n v="19"/>
    <n v="39260"/>
    <n v="38771"/>
    <n v="145"/>
    <s v="#FutureOfDriving"/>
    <m/>
    <m/>
    <m/>
    <n v="5.5909322465613857E-2"/>
  </r>
  <r>
    <x v="2"/>
    <d v="2025-05-12T00:00:00"/>
    <x v="1"/>
    <s v="Check out our latest reel on youtube!"/>
    <n v="2795"/>
    <n v="105"/>
    <n v="49"/>
    <n v="53105"/>
    <n v="52307"/>
    <n v="204"/>
    <s v="#TeslaCoInnovation"/>
    <m/>
    <m/>
    <s v="FSDUpdate"/>
    <n v="5.5531494209584788E-2"/>
  </r>
  <r>
    <x v="3"/>
    <d v="2024-06-20T00:00:00"/>
    <x v="2"/>
    <s v="Check out our latest video on facebook!"/>
    <n v="3798"/>
    <n v="31"/>
    <n v="279"/>
    <n v="75960"/>
    <n v="75813"/>
    <n v="266"/>
    <s v="#TeslaCoInnovation"/>
    <m/>
    <m/>
    <s v="CybertruckLaunch"/>
    <n v="5.4081095313322801E-2"/>
  </r>
  <r>
    <x v="1"/>
    <d v="2024-07-31T00:00:00"/>
    <x v="3"/>
    <s v="Check out our latest carousel on twitter!"/>
    <n v="4507"/>
    <n v="217"/>
    <n v="13"/>
    <n v="90140"/>
    <n v="89591"/>
    <n v="125"/>
    <s v="#FutureOfDriving"/>
    <m/>
    <m/>
    <s v="FSDUpdate"/>
    <n v="5.2551586421122697E-2"/>
  </r>
  <r>
    <x v="4"/>
    <m/>
    <x v="6"/>
    <m/>
    <m/>
    <m/>
    <m/>
    <m/>
    <m/>
    <m/>
    <m/>
    <m/>
    <m/>
    <m/>
    <m/>
  </r>
  <r>
    <x v="4"/>
    <m/>
    <x v="6"/>
    <m/>
    <m/>
    <m/>
    <m/>
    <m/>
    <m/>
    <m/>
    <m/>
    <m/>
    <m/>
    <m/>
    <m/>
  </r>
  <r>
    <x v="4"/>
    <m/>
    <x v="6"/>
    <m/>
    <m/>
    <m/>
    <m/>
    <m/>
    <m/>
    <m/>
    <m/>
    <m/>
    <m/>
    <m/>
    <m/>
  </r>
  <r>
    <x v="4"/>
    <m/>
    <x v="6"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8">
  <r>
    <x v="0"/>
    <n v="1135"/>
    <n v="88"/>
    <n v="344084"/>
    <n v="0.30428616268120573"/>
  </r>
  <r>
    <x v="1"/>
    <n v="1312"/>
    <n v="310"/>
    <n v="42654"/>
    <n v="2.3491348994232664"/>
  </r>
  <r>
    <x v="2"/>
    <n v="584"/>
    <n v="169"/>
    <n v="146834"/>
    <n v="0.28263208793603661"/>
  </r>
  <r>
    <x v="3"/>
    <n v="1535"/>
    <n v="445"/>
    <n v="395536"/>
    <n v="0.27557542170624166"/>
  </r>
  <r>
    <x v="0"/>
    <n v="656"/>
    <n v="139"/>
    <n v="49157"/>
    <n v="1.0517322049758935"/>
  </r>
  <r>
    <x v="1"/>
    <n v="1697"/>
    <n v="414"/>
    <n v="316555"/>
    <n v="0.40530081660374973"/>
  </r>
  <r>
    <x v="2"/>
    <n v="436"/>
    <n v="250"/>
    <n v="254347"/>
    <n v="7.3128442639386351E-2"/>
  </r>
  <r>
    <x v="3"/>
    <n v="1197"/>
    <n v="203"/>
    <n v="413878"/>
    <n v="0.24016739232334167"/>
  </r>
  <r>
    <x v="0"/>
    <n v="1048"/>
    <n v="155"/>
    <n v="456946"/>
    <n v="0.19542790614208244"/>
  </r>
  <r>
    <x v="1"/>
    <n v="1753"/>
    <n v="371"/>
    <n v="169496"/>
    <n v="0.8153584745362723"/>
  </r>
  <r>
    <x v="2"/>
    <n v="1335"/>
    <n v="40"/>
    <n v="122732"/>
    <n v="1.0551445425805821"/>
  </r>
  <r>
    <x v="3"/>
    <n v="403"/>
    <n v="66"/>
    <n v="382851"/>
    <n v="8.8023800381871797E-2"/>
  </r>
  <r>
    <x v="0"/>
    <n v="911"/>
    <n v="282"/>
    <n v="35664"/>
    <n v="1.7636832660385824"/>
  </r>
  <r>
    <x v="1"/>
    <n v="1779"/>
    <n v="109"/>
    <n v="26295"/>
    <n v="6.3510173036698996"/>
  </r>
  <r>
    <x v="2"/>
    <n v="1238"/>
    <n v="403"/>
    <n v="298421"/>
    <n v="0.27980604582117208"/>
  </r>
  <r>
    <x v="3"/>
    <n v="308"/>
    <n v="431"/>
    <n v="426184"/>
    <n v="-2.8860773750305036E-2"/>
  </r>
  <r>
    <x v="0"/>
    <n v="226"/>
    <n v="445"/>
    <n v="419447"/>
    <n v="-5.2211602419375981E-2"/>
  </r>
  <r>
    <x v="1"/>
    <n v="505"/>
    <n v="441"/>
    <n v="220020"/>
    <n v="2.9088264703208796E-2"/>
  </r>
  <r>
    <x v="2"/>
    <n v="1420"/>
    <n v="63"/>
    <n v="315305"/>
    <n v="0.4303769366169265"/>
  </r>
  <r>
    <x v="3"/>
    <n v="144"/>
    <n v="53"/>
    <n v="113678"/>
    <n v="8.0050669434719113E-2"/>
  </r>
  <r>
    <x v="0"/>
    <n v="1757"/>
    <n v="85"/>
    <n v="58223"/>
    <n v="2.8717173625543171"/>
  </r>
  <r>
    <x v="1"/>
    <n v="350"/>
    <n v="41"/>
    <n v="251694"/>
    <n v="0.12276812319721568"/>
  </r>
  <r>
    <x v="2"/>
    <n v="987"/>
    <n v="440"/>
    <n v="389810"/>
    <n v="0.140324773607655"/>
  </r>
  <r>
    <x v="3"/>
    <n v="883"/>
    <n v="369"/>
    <n v="233694"/>
    <n v="0.21994574101175038"/>
  </r>
  <r>
    <x v="0"/>
    <n v="1960"/>
    <n v="115"/>
    <n v="154169"/>
    <n v="1.1967386439556591"/>
  </r>
  <r>
    <x v="1"/>
    <n v="170"/>
    <n v="334"/>
    <n v="334626"/>
    <n v="-4.9009939454794309E-2"/>
  </r>
  <r>
    <x v="2"/>
    <n v="704"/>
    <n v="275"/>
    <n v="226002"/>
    <n v="0.18982132901478749"/>
  </r>
  <r>
    <x v="3"/>
    <n v="224"/>
    <n v="64"/>
    <n v="156683"/>
    <n v="0.10211701333265255"/>
  </r>
  <r>
    <x v="0"/>
    <n v="508"/>
    <n v="349"/>
    <n v="473812"/>
    <n v="3.3557613568250697E-2"/>
  </r>
  <r>
    <x v="1"/>
    <n v="1391"/>
    <n v="430"/>
    <n v="295032"/>
    <n v="0.32572737872501967"/>
  </r>
  <r>
    <x v="2"/>
    <n v="1701"/>
    <n v="385"/>
    <n v="198278"/>
    <n v="0.66371458255580551"/>
  </r>
  <r>
    <x v="3"/>
    <n v="804"/>
    <n v="487"/>
    <n v="306564"/>
    <n v="0.10340418313957282"/>
  </r>
  <r>
    <x v="0"/>
    <n v="653"/>
    <n v="112"/>
    <n v="23664"/>
    <n v="2.2861730899256254"/>
  </r>
  <r>
    <x v="1"/>
    <n v="160"/>
    <n v="478"/>
    <n v="435034"/>
    <n v="-7.309773488968678E-2"/>
  </r>
  <r>
    <x v="2"/>
    <n v="1756"/>
    <n v="261"/>
    <n v="287574"/>
    <n v="0.51986619096302167"/>
  </r>
  <r>
    <x v="3"/>
    <n v="576"/>
    <n v="101"/>
    <n v="62499"/>
    <n v="0.76001216019456308"/>
  </r>
  <r>
    <x v="0"/>
    <n v="645"/>
    <n v="293"/>
    <n v="437968"/>
    <n v="8.0371168669857163E-2"/>
  </r>
  <r>
    <x v="1"/>
    <n v="214"/>
    <n v="411"/>
    <n v="125034"/>
    <n v="-0.15755714445670779"/>
  </r>
  <r>
    <x v="2"/>
    <n v="826"/>
    <n v="498"/>
    <n v="449994"/>
    <n v="7.2889860753698937E-2"/>
  </r>
  <r>
    <x v="3"/>
    <n v="460"/>
    <n v="141"/>
    <n v="320650"/>
    <n v="9.9485420240137221E-2"/>
  </r>
  <r>
    <x v="0"/>
    <n v="1528"/>
    <n v="203"/>
    <n v="489188"/>
    <n v="0.27085701202809553"/>
  </r>
  <r>
    <x v="1"/>
    <n v="1534"/>
    <n v="200"/>
    <n v="307612"/>
    <n v="0.43366318609156984"/>
  </r>
  <r>
    <x v="2"/>
    <n v="485"/>
    <n v="448"/>
    <n v="434883"/>
    <n v="8.5080354946042956E-3"/>
  </r>
  <r>
    <x v="3"/>
    <n v="1210"/>
    <n v="178"/>
    <n v="102042"/>
    <n v="1.011348268360087"/>
  </r>
  <r>
    <x v="0"/>
    <n v="215"/>
    <n v="139"/>
    <n v="325444"/>
    <n v="2.335271198731579E-2"/>
  </r>
  <r>
    <x v="1"/>
    <n v="1078"/>
    <n v="20"/>
    <n v="183924"/>
    <n v="0.57523759813836151"/>
  </r>
  <r>
    <x v="2"/>
    <n v="1751"/>
    <n v="86"/>
    <n v="188655"/>
    <n v="0.88256340939810773"/>
  </r>
  <r>
    <x v="3"/>
    <n v="221"/>
    <n v="31"/>
    <n v="87443"/>
    <n v="0.21728440241071326"/>
  </r>
  <r>
    <x v="0"/>
    <n v="1685"/>
    <n v="76"/>
    <n v="453799"/>
    <n v="0.35456226214689768"/>
  </r>
  <r>
    <x v="1"/>
    <n v="248"/>
    <n v="211"/>
    <n v="379380"/>
    <n v="9.7527544941747053E-3"/>
  </r>
  <r>
    <x v="2"/>
    <n v="1300"/>
    <n v="71"/>
    <n v="186454"/>
    <n v="0.65914381026955704"/>
  </r>
  <r>
    <x v="3"/>
    <n v="422"/>
    <n v="394"/>
    <n v="239044"/>
    <n v="1.1713324743561855E-2"/>
  </r>
  <r>
    <x v="0"/>
    <n v="1429"/>
    <n v="182"/>
    <n v="101332"/>
    <n v="1.2306082974775983"/>
  </r>
  <r>
    <x v="1"/>
    <n v="1520"/>
    <n v="475"/>
    <n v="496982"/>
    <n v="0.21026918479944948"/>
  </r>
  <r>
    <x v="2"/>
    <n v="557"/>
    <n v="360"/>
    <n v="318779"/>
    <n v="6.1798299135137513E-2"/>
  </r>
  <r>
    <x v="3"/>
    <n v="728"/>
    <n v="395"/>
    <n v="370971"/>
    <n v="8.9764429025449427E-2"/>
  </r>
  <r>
    <x v="0"/>
    <n v="1592"/>
    <n v="20"/>
    <n v="378054"/>
    <n v="0.41581361392816901"/>
  </r>
  <r>
    <x v="1"/>
    <n v="1842"/>
    <n v="414"/>
    <n v="307524"/>
    <n v="0.46435400163889645"/>
  </r>
  <r>
    <x v="2"/>
    <n v="751"/>
    <n v="491"/>
    <n v="434047"/>
    <n v="5.990134708914012E-2"/>
  </r>
  <r>
    <x v="3"/>
    <n v="1409"/>
    <n v="309"/>
    <n v="64583"/>
    <n v="1.703234597339857"/>
  </r>
  <r>
    <x v="0"/>
    <n v="778"/>
    <n v="401"/>
    <n v="50793"/>
    <n v="0.74222825979957874"/>
  </r>
  <r>
    <x v="1"/>
    <n v="443"/>
    <n v="345"/>
    <n v="474162"/>
    <n v="2.0668041724136478E-2"/>
  </r>
  <r>
    <x v="2"/>
    <n v="1472"/>
    <n v="347"/>
    <n v="392355"/>
    <n v="0.2867301296020186"/>
  </r>
  <r>
    <x v="3"/>
    <n v="123"/>
    <n v="155"/>
    <n v="119934"/>
    <n v="-2.6681341404439108E-2"/>
  </r>
  <r>
    <x v="0"/>
    <n v="817"/>
    <n v="151"/>
    <n v="422625"/>
    <n v="0.15758651286601597"/>
  </r>
  <r>
    <x v="1"/>
    <n v="198"/>
    <n v="217"/>
    <n v="239753"/>
    <n v="-7.924822629956663E-3"/>
  </r>
  <r>
    <x v="2"/>
    <n v="1911"/>
    <n v="231"/>
    <n v="268516"/>
    <n v="0.62566104068286432"/>
  </r>
  <r>
    <x v="3"/>
    <n v="1218"/>
    <n v="212"/>
    <n v="63177"/>
    <n v="1.592351646960128"/>
  </r>
  <r>
    <x v="0"/>
    <n v="1433"/>
    <n v="408"/>
    <n v="370269"/>
    <n v="0.27682576721248608"/>
  </r>
  <r>
    <x v="1"/>
    <n v="250"/>
    <n v="429"/>
    <n v="453423"/>
    <n v="-3.9477485703195474E-2"/>
  </r>
  <r>
    <x v="2"/>
    <n v="752"/>
    <n v="153"/>
    <n v="64906"/>
    <n v="0.92287307798970819"/>
  </r>
  <r>
    <x v="3"/>
    <n v="1918"/>
    <n v="212"/>
    <n v="94360"/>
    <n v="1.8079694785926241"/>
  </r>
  <r>
    <x v="0"/>
    <n v="1939"/>
    <n v="67"/>
    <n v="187183"/>
    <n v="1.000090820213374"/>
  </r>
  <r>
    <x v="1"/>
    <n v="1929"/>
    <n v="267"/>
    <n v="379363"/>
    <n v="0.43810281972675247"/>
  </r>
  <r>
    <x v="2"/>
    <n v="437"/>
    <n v="330"/>
    <n v="476486"/>
    <n v="2.2456063766826309E-2"/>
  </r>
  <r>
    <x v="3"/>
    <n v="307"/>
    <n v="189"/>
    <n v="117767"/>
    <n v="0.10019784829366461"/>
  </r>
  <r>
    <x v="0"/>
    <n v="1527"/>
    <n v="303"/>
    <n v="388555"/>
    <n v="0.31501331857780751"/>
  </r>
  <r>
    <x v="1"/>
    <n v="643"/>
    <n v="358"/>
    <n v="157599"/>
    <n v="0.18083871090552606"/>
  </r>
  <r>
    <x v="2"/>
    <n v="201"/>
    <n v="221"/>
    <n v="309772"/>
    <n v="-6.4563614529395824E-3"/>
  </r>
  <r>
    <x v="3"/>
    <n v="414"/>
    <n v="47"/>
    <n v="199178"/>
    <n v="0.18425729749269498"/>
  </r>
  <r>
    <x v="0"/>
    <n v="703"/>
    <n v="441"/>
    <n v="357089"/>
    <n v="7.3371064356504964E-2"/>
  </r>
  <r>
    <x v="1"/>
    <n v="508"/>
    <n v="69"/>
    <n v="23492"/>
    <n v="1.8687212668142346"/>
  </r>
  <r>
    <x v="2"/>
    <n v="697"/>
    <n v="61"/>
    <n v="258287"/>
    <n v="0.24623771231227276"/>
  </r>
  <r>
    <x v="3"/>
    <n v="1707"/>
    <n v="223"/>
    <n v="256910"/>
    <n v="0.57763419096181545"/>
  </r>
  <r>
    <x v="0"/>
    <n v="642"/>
    <n v="66"/>
    <n v="346522"/>
    <n v="0.166223212379012"/>
  </r>
  <r>
    <x v="1"/>
    <n v="859"/>
    <n v="473"/>
    <n v="209987"/>
    <n v="0.18382090319876945"/>
  </r>
  <r>
    <x v="2"/>
    <n v="191"/>
    <n v="154"/>
    <n v="240550"/>
    <n v="1.5381417584701726E-2"/>
  </r>
  <r>
    <x v="3"/>
    <n v="1814"/>
    <n v="157"/>
    <n v="305827"/>
    <n v="0.54180958515762179"/>
  </r>
  <r>
    <x v="0"/>
    <n v="1466"/>
    <n v="69"/>
    <n v="54935"/>
    <n v="2.5430053699827071"/>
  </r>
  <r>
    <x v="1"/>
    <n v="947"/>
    <n v="407"/>
    <n v="319186"/>
    <n v="0.16918035252172714"/>
  </r>
  <r>
    <x v="2"/>
    <n v="1821"/>
    <n v="218"/>
    <n v="439080"/>
    <n v="0.36508153411678962"/>
  </r>
  <r>
    <x v="3"/>
    <n v="1507"/>
    <n v="463"/>
    <n v="258944"/>
    <n v="0.40317597627286211"/>
  </r>
  <r>
    <x v="0"/>
    <n v="1075"/>
    <n v="173"/>
    <n v="51395"/>
    <n v="1.7550345364335054"/>
  </r>
  <r>
    <x v="1"/>
    <n v="171"/>
    <n v="277"/>
    <n v="309483"/>
    <n v="-3.4250669665215859E-2"/>
  </r>
  <r>
    <x v="2"/>
    <n v="1487"/>
    <n v="337"/>
    <n v="87305"/>
    <n v="1.3172212358971422"/>
  </r>
  <r>
    <x v="3"/>
    <n v="454"/>
    <n v="105"/>
    <n v="121091"/>
    <n v="0.28821299683708945"/>
  </r>
  <r>
    <x v="0"/>
    <n v="187"/>
    <n v="236"/>
    <n v="51087"/>
    <n v="-9.5914811987394058E-2"/>
  </r>
  <r>
    <x v="1"/>
    <n v="513"/>
    <n v="441"/>
    <n v="338847"/>
    <n v="2.124852809675163E-2"/>
  </r>
  <r>
    <x v="2"/>
    <n v="628"/>
    <n v="183"/>
    <n v="487523"/>
    <n v="9.1277744844858608E-2"/>
  </r>
  <r>
    <x v="3"/>
    <n v="278"/>
    <n v="218"/>
    <n v="301695"/>
    <n v="1.9887634863023914E-2"/>
  </r>
  <r>
    <x v="0"/>
    <n v="1854"/>
    <n v="161"/>
    <n v="282466"/>
    <n v="0.59936417126309005"/>
  </r>
  <r>
    <x v="1"/>
    <n v="1710"/>
    <n v="378"/>
    <n v="336661"/>
    <n v="0.39565022381564841"/>
  </r>
  <r>
    <x v="2"/>
    <n v="330"/>
    <n v="232"/>
    <n v="88455"/>
    <n v="0.11079079758069074"/>
  </r>
  <r>
    <x v="3"/>
    <n v="1293"/>
    <n v="408"/>
    <n v="62535"/>
    <n v="1.4152074838090669"/>
  </r>
  <r>
    <x v="0"/>
    <n v="1696"/>
    <n v="71"/>
    <n v="421957"/>
    <n v="0.38511033114748661"/>
  </r>
  <r>
    <x v="1"/>
    <n v="1902"/>
    <n v="196"/>
    <n v="470269"/>
    <n v="0.36277109484146308"/>
  </r>
  <r>
    <x v="2"/>
    <n v="1441"/>
    <n v="268"/>
    <n v="309904"/>
    <n v="0.37850431101244258"/>
  </r>
  <r>
    <x v="3"/>
    <n v="452"/>
    <n v="161"/>
    <n v="221274"/>
    <n v="0.13151115811166245"/>
  </r>
  <r>
    <x v="0"/>
    <n v="1494"/>
    <n v="375"/>
    <n v="220616"/>
    <n v="0.5072161583928636"/>
  </r>
  <r>
    <x v="1"/>
    <n v="1514"/>
    <n v="141"/>
    <n v="35842"/>
    <n v="3.8307014117515763"/>
  </r>
  <r>
    <x v="2"/>
    <n v="1937"/>
    <n v="210"/>
    <n v="20607"/>
    <n v="8.3806473528412688"/>
  </r>
  <r>
    <x v="3"/>
    <n v="736"/>
    <n v="163"/>
    <n v="451894"/>
    <n v="0.12679964770499277"/>
  </r>
  <r>
    <x v="0"/>
    <n v="1502"/>
    <n v="70"/>
    <n v="465553"/>
    <n v="0.30759118725472717"/>
  </r>
  <r>
    <x v="1"/>
    <n v="1623"/>
    <n v="246"/>
    <n v="415815"/>
    <n v="0.33115688467227011"/>
  </r>
  <r>
    <x v="2"/>
    <n v="1592"/>
    <n v="233"/>
    <n v="327183"/>
    <n v="0.41536387893013998"/>
  </r>
  <r>
    <x v="3"/>
    <n v="1004"/>
    <n v="128"/>
    <n v="488901"/>
    <n v="0.17917737946946316"/>
  </r>
  <r>
    <x v="0"/>
    <n v="1092"/>
    <n v="408"/>
    <n v="280795"/>
    <n v="0.24359408109118752"/>
  </r>
  <r>
    <x v="1"/>
    <n v="1155"/>
    <n v="425"/>
    <n v="93347"/>
    <n v="0.78202834584935776"/>
  </r>
  <r>
    <x v="2"/>
    <n v="1137"/>
    <n v="226"/>
    <n v="81119"/>
    <n v="1.123041457611657"/>
  </r>
  <r>
    <x v="3"/>
    <n v="1900"/>
    <n v="311"/>
    <n v="25177"/>
    <n v="6.3113158835445047"/>
  </r>
  <r>
    <x v="0"/>
    <n v="1814"/>
    <n v="49"/>
    <n v="140804"/>
    <n v="1.2535155251271271"/>
  </r>
  <r>
    <x v="1"/>
    <n v="1980"/>
    <n v="204"/>
    <n v="379431"/>
    <n v="0.46806929323118035"/>
  </r>
  <r>
    <x v="2"/>
    <n v="1786"/>
    <n v="257"/>
    <n v="274831"/>
    <n v="0.55634189738421069"/>
  </r>
  <r>
    <x v="3"/>
    <n v="1495"/>
    <n v="35"/>
    <n v="136845"/>
    <n v="1.0669005078738718"/>
  </r>
  <r>
    <x v="0"/>
    <n v="1013"/>
    <n v="110"/>
    <n v="466382"/>
    <n v="0.19361810704529764"/>
  </r>
  <r>
    <x v="1"/>
    <n v="816"/>
    <n v="196"/>
    <n v="95728"/>
    <n v="0.64766839378238339"/>
  </r>
  <r>
    <x v="2"/>
    <n v="1633"/>
    <n v="445"/>
    <n v="371156"/>
    <n v="0.32008104408927779"/>
  </r>
  <r>
    <x v="3"/>
    <n v="891"/>
    <n v="45"/>
    <n v="95410"/>
    <n v="0.88669950738916259"/>
  </r>
  <r>
    <x v="0"/>
    <n v="1855"/>
    <n v="133"/>
    <n v="349413"/>
    <n v="0.49282654051223052"/>
  </r>
  <r>
    <x v="1"/>
    <n v="651"/>
    <n v="353"/>
    <n v="224699"/>
    <n v="0.13262186302564766"/>
  </r>
  <r>
    <x v="2"/>
    <n v="118"/>
    <n v="262"/>
    <n v="487896"/>
    <n v="-2.9514486693885584E-2"/>
  </r>
  <r>
    <x v="3"/>
    <n v="1331"/>
    <n v="430"/>
    <n v="14437"/>
    <n v="6.2409087760615085"/>
  </r>
  <r>
    <x v="0"/>
    <n v="1748"/>
    <n v="176"/>
    <n v="383681"/>
    <n v="0.40971536250166152"/>
  </r>
  <r>
    <x v="1"/>
    <n v="663"/>
    <n v="236"/>
    <n v="479490"/>
    <n v="8.905295209493419E-2"/>
  </r>
  <r>
    <x v="2"/>
    <n v="1040"/>
    <n v="149"/>
    <n v="124404"/>
    <n v="0.71621491270377158"/>
  </r>
  <r>
    <x v="3"/>
    <n v="1166"/>
    <n v="442"/>
    <n v="336949"/>
    <n v="0.2148693125665902"/>
  </r>
  <r>
    <x v="0"/>
    <n v="115"/>
    <n v="281"/>
    <n v="357265"/>
    <n v="-4.6464109274628081E-2"/>
  </r>
  <r>
    <x v="1"/>
    <n v="1249"/>
    <n v="351"/>
    <n v="321307"/>
    <n v="0.27948348464241363"/>
  </r>
  <r>
    <x v="2"/>
    <n v="1501"/>
    <n v="75"/>
    <n v="262569"/>
    <n v="0.54309533874905258"/>
  </r>
  <r>
    <x v="3"/>
    <n v="1411"/>
    <n v="186"/>
    <n v="461669"/>
    <n v="0.26534161921203286"/>
  </r>
  <r>
    <x v="0"/>
    <n v="1556"/>
    <n v="476"/>
    <n v="351556"/>
    <n v="0.30720567989168157"/>
  </r>
  <r>
    <x v="1"/>
    <n v="1159"/>
    <n v="411"/>
    <n v="135987"/>
    <n v="0.5500525785553031"/>
  </r>
  <r>
    <x v="2"/>
    <n v="927"/>
    <n v="358"/>
    <n v="177554"/>
    <n v="0.32046588643454949"/>
  </r>
  <r>
    <x v="3"/>
    <n v="152"/>
    <n v="355"/>
    <n v="270766"/>
    <n v="-7.4972485467156139E-2"/>
  </r>
  <r>
    <x v="0"/>
    <n v="1957"/>
    <n v="234"/>
    <n v="222126"/>
    <n v="0.77568587198256844"/>
  </r>
  <r>
    <x v="1"/>
    <n v="1294"/>
    <n v="382"/>
    <n v="309914"/>
    <n v="0.29427518601934727"/>
  </r>
  <r>
    <x v="2"/>
    <n v="1587"/>
    <n v="385"/>
    <n v="126582"/>
    <n v="0.94958208908059605"/>
  </r>
  <r>
    <x v="3"/>
    <n v="1707"/>
    <n v="263"/>
    <n v="485280"/>
    <n v="0.29756017144741181"/>
  </r>
  <r>
    <x v="0"/>
    <n v="1138"/>
    <n v="173"/>
    <n v="453243"/>
    <n v="0.21291007252180397"/>
  </r>
  <r>
    <x v="1"/>
    <n v="1895"/>
    <n v="305"/>
    <n v="104967"/>
    <n v="1.5147617822744293"/>
  </r>
  <r>
    <x v="2"/>
    <n v="362"/>
    <n v="399"/>
    <n v="145608"/>
    <n v="-2.5410691720235155E-2"/>
  </r>
  <r>
    <x v="3"/>
    <n v="1662"/>
    <n v="487"/>
    <n v="105980"/>
    <n v="1.1086997546706925"/>
  </r>
  <r>
    <x v="0"/>
    <n v="1440"/>
    <n v="65"/>
    <n v="126524"/>
    <n v="1.08675033985647"/>
  </r>
  <r>
    <x v="1"/>
    <n v="1884"/>
    <n v="177"/>
    <n v="230448"/>
    <n v="0.74073109768798173"/>
  </r>
  <r>
    <x v="2"/>
    <n v="861"/>
    <n v="153"/>
    <n v="317007"/>
    <n v="0.22333891680625351"/>
  </r>
  <r>
    <x v="3"/>
    <n v="1063"/>
    <n v="47"/>
    <n v="464239"/>
    <n v="0.21885278918832757"/>
  </r>
  <r>
    <x v="0"/>
    <n v="1371"/>
    <n v="56"/>
    <n v="257579"/>
    <n v="0.51052298518124528"/>
  </r>
  <r>
    <x v="1"/>
    <n v="345"/>
    <n v="464"/>
    <n v="366881"/>
    <n v="-3.2435585380545737E-2"/>
  </r>
  <r>
    <x v="2"/>
    <n v="946"/>
    <n v="47"/>
    <n v="466575"/>
    <n v="0.19268070513850935"/>
  </r>
  <r>
    <x v="3"/>
    <n v="510"/>
    <n v="195"/>
    <n v="224534"/>
    <n v="0.14029055733207443"/>
  </r>
  <r>
    <x v="0"/>
    <n v="393"/>
    <n v="181"/>
    <n v="462142"/>
    <n v="4.5873346287504703E-2"/>
  </r>
  <r>
    <x v="1"/>
    <n v="1098"/>
    <n v="190"/>
    <n v="340842"/>
    <n v="0.26639909400836753"/>
  </r>
  <r>
    <x v="2"/>
    <n v="1399"/>
    <n v="49"/>
    <n v="12471"/>
    <n v="10.825114265095021"/>
  </r>
  <r>
    <x v="3"/>
    <n v="1658"/>
    <n v="416"/>
    <n v="98397"/>
    <n v="1.2622336046830696"/>
  </r>
  <r>
    <x v="0"/>
    <n v="1102"/>
    <n v="422"/>
    <n v="410330"/>
    <n v="0.16572027392586453"/>
  </r>
  <r>
    <x v="1"/>
    <n v="1358"/>
    <n v="242"/>
    <n v="342129"/>
    <n v="0.32619275185675578"/>
  </r>
  <r>
    <x v="2"/>
    <n v="1077"/>
    <n v="216"/>
    <n v="12447"/>
    <n v="6.9173294769824052"/>
  </r>
  <r>
    <x v="3"/>
    <n v="1596"/>
    <n v="211"/>
    <n v="17380"/>
    <n v="7.9689298043728432"/>
  </r>
  <r>
    <x v="0"/>
    <n v="490"/>
    <n v="29"/>
    <n v="364810"/>
    <n v="0.12636715002329982"/>
  </r>
  <r>
    <x v="1"/>
    <n v="609"/>
    <n v="135"/>
    <n v="373606"/>
    <n v="0.1268716241173857"/>
  </r>
  <r>
    <x v="2"/>
    <n v="364"/>
    <n v="72"/>
    <n v="211090"/>
    <n v="0.13832962243592781"/>
  </r>
  <r>
    <x v="3"/>
    <n v="442"/>
    <n v="53"/>
    <n v="441931"/>
    <n v="8.8022790888170319E-2"/>
  </r>
  <r>
    <x v="0"/>
    <n v="1033"/>
    <n v="392"/>
    <n v="282780"/>
    <n v="0.22667798288422092"/>
  </r>
  <r>
    <x v="1"/>
    <n v="988"/>
    <n v="474"/>
    <n v="370070"/>
    <n v="0.13889264193260734"/>
  </r>
  <r>
    <x v="2"/>
    <n v="1946"/>
    <n v="270"/>
    <n v="198350"/>
    <n v="0.84497101083942527"/>
  </r>
  <r>
    <x v="3"/>
    <n v="1957"/>
    <n v="490"/>
    <n v="435726"/>
    <n v="0.33667947287974553"/>
  </r>
  <r>
    <x v="0"/>
    <n v="559"/>
    <n v="392"/>
    <n v="78789"/>
    <n v="0.21195852212872357"/>
  </r>
  <r>
    <x v="1"/>
    <n v="1307"/>
    <n v="278"/>
    <n v="98596"/>
    <n v="1.0436528865268369"/>
  </r>
  <r>
    <x v="2"/>
    <n v="1432"/>
    <n v="425"/>
    <n v="29589"/>
    <n v="3.4032917638311533"/>
  </r>
  <r>
    <x v="3"/>
    <n v="623"/>
    <n v="414"/>
    <n v="290354"/>
    <n v="7.1981098934404214E-2"/>
  </r>
  <r>
    <x v="0"/>
    <n v="198"/>
    <n v="358"/>
    <n v="66682"/>
    <n v="-0.2399448126930806"/>
  </r>
  <r>
    <x v="1"/>
    <n v="198"/>
    <n v="373"/>
    <n v="70707"/>
    <n v="-0.24750024750024749"/>
  </r>
  <r>
    <x v="2"/>
    <n v="353"/>
    <n v="300"/>
    <n v="142507"/>
    <n v="3.7191155522184875E-2"/>
  </r>
  <r>
    <x v="3"/>
    <n v="520"/>
    <n v="375"/>
    <n v="369525"/>
    <n v="3.9239564305527365E-2"/>
  </r>
  <r>
    <x v="0"/>
    <n v="961"/>
    <n v="358"/>
    <n v="62942"/>
    <n v="0.95802484827301337"/>
  </r>
  <r>
    <x v="1"/>
    <n v="1375"/>
    <n v="330"/>
    <n v="377382"/>
    <n v="0.27690774864725926"/>
  </r>
  <r>
    <x v="2"/>
    <n v="1147"/>
    <n v="388"/>
    <n v="333851"/>
    <n v="0.22734693021737243"/>
  </r>
  <r>
    <x v="3"/>
    <n v="1707"/>
    <n v="74"/>
    <n v="270958"/>
    <n v="0.60267642955734835"/>
  </r>
  <r>
    <x v="0"/>
    <n v="1693"/>
    <n v="154"/>
    <n v="445944"/>
    <n v="0.34511059684624079"/>
  </r>
  <r>
    <x v="1"/>
    <n v="833"/>
    <n v="380"/>
    <n v="224830"/>
    <n v="0.2014855668727483"/>
  </r>
  <r>
    <x v="2"/>
    <n v="1222"/>
    <n v="274"/>
    <n v="487289"/>
    <n v="0.19454574184929271"/>
  </r>
  <r>
    <x v="3"/>
    <n v="777"/>
    <n v="140"/>
    <n v="11435"/>
    <n v="5.5706165282028861"/>
  </r>
  <r>
    <x v="0"/>
    <n v="1957"/>
    <n v="76"/>
    <n v="447902"/>
    <n v="0.41995793722733987"/>
  </r>
  <r>
    <x v="1"/>
    <n v="405"/>
    <n v="66"/>
    <n v="418696"/>
    <n v="8.0965664826031306E-2"/>
  </r>
  <r>
    <x v="2"/>
    <n v="1581"/>
    <n v="71"/>
    <n v="484364"/>
    <n v="0.311749015203442"/>
  </r>
  <r>
    <x v="3"/>
    <n v="1035"/>
    <n v="171"/>
    <n v="148477"/>
    <n v="0.58190830903102841"/>
  </r>
  <r>
    <x v="0"/>
    <n v="1765"/>
    <n v="109"/>
    <n v="468301"/>
    <n v="0.35361871958419905"/>
  </r>
  <r>
    <x v="1"/>
    <n v="837"/>
    <n v="430"/>
    <n v="364820"/>
    <n v="0.11156186612576065"/>
  </r>
  <r>
    <x v="2"/>
    <n v="337"/>
    <n v="68"/>
    <n v="456298"/>
    <n v="5.8952701962314107E-2"/>
  </r>
  <r>
    <x v="3"/>
    <n v="119"/>
    <n v="456"/>
    <n v="82558"/>
    <n v="-0.4081978730104896"/>
  </r>
  <r>
    <x v="4"/>
    <m/>
    <m/>
    <m/>
    <m/>
  </r>
  <r>
    <x v="4"/>
    <m/>
    <m/>
    <m/>
    <m/>
  </r>
  <r>
    <x v="4"/>
    <m/>
    <m/>
    <m/>
    <m/>
  </r>
  <r>
    <x v="4"/>
    <m/>
    <m/>
    <m/>
    <m/>
  </r>
  <r>
    <x v="4"/>
    <m/>
    <m/>
    <m/>
    <m/>
  </r>
  <r>
    <x v="4"/>
    <m/>
    <m/>
    <m/>
    <m/>
  </r>
  <r>
    <x v="4"/>
    <m/>
    <m/>
    <m/>
    <m/>
  </r>
  <r>
    <x v="4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04">
  <r>
    <x v="0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1"/>
    <x v="0"/>
    <x v="0"/>
  </r>
  <r>
    <x v="1"/>
    <x v="0"/>
    <x v="0"/>
  </r>
  <r>
    <x v="2"/>
    <x v="0"/>
    <x v="0"/>
  </r>
  <r>
    <x v="1"/>
    <x v="0"/>
    <x v="0"/>
  </r>
  <r>
    <x v="2"/>
    <x v="0"/>
    <x v="0"/>
  </r>
  <r>
    <x v="0"/>
    <x v="1"/>
    <x v="0"/>
  </r>
  <r>
    <x v="0"/>
    <x v="0"/>
    <x v="0"/>
  </r>
  <r>
    <x v="0"/>
    <x v="0"/>
    <x v="0"/>
  </r>
  <r>
    <x v="2"/>
    <x v="0"/>
    <x v="0"/>
  </r>
  <r>
    <x v="1"/>
    <x v="0"/>
    <x v="0"/>
  </r>
  <r>
    <x v="2"/>
    <x v="0"/>
    <x v="0"/>
  </r>
  <r>
    <x v="2"/>
    <x v="0"/>
    <x v="0"/>
  </r>
  <r>
    <x v="0"/>
    <x v="0"/>
    <x v="0"/>
  </r>
  <r>
    <x v="2"/>
    <x v="0"/>
    <x v="0"/>
  </r>
  <r>
    <x v="0"/>
    <x v="0"/>
    <x v="0"/>
  </r>
  <r>
    <x v="2"/>
    <x v="0"/>
    <x v="0"/>
  </r>
  <r>
    <x v="1"/>
    <x v="0"/>
    <x v="0"/>
  </r>
  <r>
    <x v="0"/>
    <x v="0"/>
    <x v="0"/>
  </r>
  <r>
    <x v="2"/>
    <x v="0"/>
    <x v="0"/>
  </r>
  <r>
    <x v="0"/>
    <x v="0"/>
    <x v="0"/>
  </r>
  <r>
    <x v="2"/>
    <x v="0"/>
    <x v="0"/>
  </r>
  <r>
    <x v="1"/>
    <x v="0"/>
    <x v="0"/>
  </r>
  <r>
    <x v="1"/>
    <x v="0"/>
    <x v="0"/>
  </r>
  <r>
    <x v="1"/>
    <x v="0"/>
    <x v="0"/>
  </r>
  <r>
    <x v="0"/>
    <x v="0"/>
    <x v="0"/>
  </r>
  <r>
    <x v="2"/>
    <x v="0"/>
    <x v="0"/>
  </r>
  <r>
    <x v="2"/>
    <x v="0"/>
    <x v="0"/>
  </r>
  <r>
    <x v="0"/>
    <x v="0"/>
    <x v="0"/>
  </r>
  <r>
    <x v="0"/>
    <x v="0"/>
    <x v="0"/>
  </r>
  <r>
    <x v="2"/>
    <x v="0"/>
    <x v="0"/>
  </r>
  <r>
    <x v="0"/>
    <x v="0"/>
    <x v="0"/>
  </r>
  <r>
    <x v="0"/>
    <x v="0"/>
    <x v="0"/>
  </r>
  <r>
    <x v="2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0"/>
    <x v="2"/>
    <x v="0"/>
  </r>
  <r>
    <x v="2"/>
    <x v="0"/>
    <x v="0"/>
  </r>
  <r>
    <x v="2"/>
    <x v="0"/>
    <x v="0"/>
  </r>
  <r>
    <x v="2"/>
    <x v="0"/>
    <x v="0"/>
  </r>
  <r>
    <x v="0"/>
    <x v="0"/>
    <x v="0"/>
  </r>
  <r>
    <x v="1"/>
    <x v="0"/>
    <x v="0"/>
  </r>
  <r>
    <x v="0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0"/>
    <x v="0"/>
    <x v="0"/>
  </r>
  <r>
    <x v="2"/>
    <x v="0"/>
    <x v="0"/>
  </r>
  <r>
    <x v="0"/>
    <x v="0"/>
    <x v="0"/>
  </r>
  <r>
    <x v="2"/>
    <x v="0"/>
    <x v="0"/>
  </r>
  <r>
    <x v="0"/>
    <x v="0"/>
    <x v="0"/>
  </r>
  <r>
    <x v="1"/>
    <x v="0"/>
    <x v="0"/>
  </r>
  <r>
    <x v="2"/>
    <x v="0"/>
    <x v="0"/>
  </r>
  <r>
    <x v="0"/>
    <x v="0"/>
    <x v="0"/>
  </r>
  <r>
    <x v="2"/>
    <x v="0"/>
    <x v="0"/>
  </r>
  <r>
    <x v="0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2"/>
    <x v="0"/>
    <x v="0"/>
  </r>
  <r>
    <x v="1"/>
    <x v="0"/>
    <x v="0"/>
  </r>
  <r>
    <x v="0"/>
    <x v="0"/>
    <x v="0"/>
  </r>
  <r>
    <x v="2"/>
    <x v="0"/>
    <x v="0"/>
  </r>
  <r>
    <x v="1"/>
    <x v="0"/>
    <x v="0"/>
  </r>
  <r>
    <x v="0"/>
    <x v="0"/>
    <x v="0"/>
  </r>
  <r>
    <x v="2"/>
    <x v="0"/>
    <x v="0"/>
  </r>
  <r>
    <x v="2"/>
    <x v="0"/>
    <x v="0"/>
  </r>
  <r>
    <x v="2"/>
    <x v="3"/>
    <x v="1"/>
  </r>
  <r>
    <x v="2"/>
    <x v="0"/>
    <x v="0"/>
  </r>
  <r>
    <x v="0"/>
    <x v="3"/>
    <x v="1"/>
  </r>
  <r>
    <x v="0"/>
    <x v="0"/>
    <x v="0"/>
  </r>
  <r>
    <x v="2"/>
    <x v="0"/>
    <x v="0"/>
  </r>
  <r>
    <x v="1"/>
    <x v="0"/>
    <x v="0"/>
  </r>
  <r>
    <x v="2"/>
    <x v="0"/>
    <x v="0"/>
  </r>
  <r>
    <x v="1"/>
    <x v="0"/>
    <x v="0"/>
  </r>
  <r>
    <x v="0"/>
    <x v="4"/>
    <x v="0"/>
  </r>
  <r>
    <x v="1"/>
    <x v="0"/>
    <x v="0"/>
  </r>
  <r>
    <x v="1"/>
    <x v="2"/>
    <x v="0"/>
  </r>
  <r>
    <x v="1"/>
    <x v="0"/>
    <x v="0"/>
  </r>
  <r>
    <x v="1"/>
    <x v="0"/>
    <x v="0"/>
  </r>
  <r>
    <x v="0"/>
    <x v="0"/>
    <x v="0"/>
  </r>
  <r>
    <x v="2"/>
    <x v="0"/>
    <x v="0"/>
  </r>
  <r>
    <x v="0"/>
    <x v="0"/>
    <x v="0"/>
  </r>
  <r>
    <x v="2"/>
    <x v="0"/>
    <x v="0"/>
  </r>
  <r>
    <x v="2"/>
    <x v="0"/>
    <x v="0"/>
  </r>
  <r>
    <x v="1"/>
    <x v="4"/>
    <x v="0"/>
  </r>
  <r>
    <x v="1"/>
    <x v="0"/>
    <x v="0"/>
  </r>
  <r>
    <x v="1"/>
    <x v="0"/>
    <x v="0"/>
  </r>
  <r>
    <x v="1"/>
    <x v="0"/>
    <x v="0"/>
  </r>
  <r>
    <x v="0"/>
    <x v="0"/>
    <x v="0"/>
  </r>
  <r>
    <x v="2"/>
    <x v="0"/>
    <x v="0"/>
  </r>
  <r>
    <x v="0"/>
    <x v="0"/>
    <x v="0"/>
  </r>
  <r>
    <x v="1"/>
    <x v="0"/>
    <x v="0"/>
  </r>
  <r>
    <x v="2"/>
    <x v="3"/>
    <x v="1"/>
  </r>
  <r>
    <x v="0"/>
    <x v="0"/>
    <x v="0"/>
  </r>
  <r>
    <x v="2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1"/>
    <x v="0"/>
    <x v="0"/>
  </r>
  <r>
    <x v="2"/>
    <x v="0"/>
    <x v="0"/>
  </r>
  <r>
    <x v="2"/>
    <x v="0"/>
    <x v="0"/>
  </r>
  <r>
    <x v="2"/>
    <x v="2"/>
    <x v="2"/>
  </r>
  <r>
    <x v="2"/>
    <x v="0"/>
    <x v="0"/>
  </r>
  <r>
    <x v="2"/>
    <x v="0"/>
    <x v="0"/>
  </r>
  <r>
    <x v="2"/>
    <x v="0"/>
    <x v="0"/>
  </r>
  <r>
    <x v="2"/>
    <x v="0"/>
    <x v="0"/>
  </r>
  <r>
    <x v="1"/>
    <x v="0"/>
    <x v="0"/>
  </r>
  <r>
    <x v="1"/>
    <x v="0"/>
    <x v="0"/>
  </r>
  <r>
    <x v="1"/>
    <x v="0"/>
    <x v="0"/>
  </r>
  <r>
    <x v="0"/>
    <x v="0"/>
    <x v="0"/>
  </r>
  <r>
    <x v="2"/>
    <x v="0"/>
    <x v="0"/>
  </r>
  <r>
    <x v="0"/>
    <x v="0"/>
    <x v="0"/>
  </r>
  <r>
    <x v="0"/>
    <x v="0"/>
    <x v="0"/>
  </r>
  <r>
    <x v="1"/>
    <x v="2"/>
    <x v="0"/>
  </r>
  <r>
    <x v="1"/>
    <x v="0"/>
    <x v="0"/>
  </r>
  <r>
    <x v="0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0"/>
    <x v="0"/>
    <x v="0"/>
  </r>
  <r>
    <x v="2"/>
    <x v="5"/>
    <x v="3"/>
  </r>
  <r>
    <x v="2"/>
    <x v="0"/>
    <x v="0"/>
  </r>
  <r>
    <x v="0"/>
    <x v="0"/>
    <x v="0"/>
  </r>
  <r>
    <x v="2"/>
    <x v="0"/>
    <x v="0"/>
  </r>
  <r>
    <x v="2"/>
    <x v="0"/>
    <x v="0"/>
  </r>
  <r>
    <x v="1"/>
    <x v="0"/>
    <x v="0"/>
  </r>
  <r>
    <x v="2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2"/>
    <x v="0"/>
    <x v="0"/>
  </r>
  <r>
    <x v="2"/>
    <x v="4"/>
    <x v="0"/>
  </r>
  <r>
    <x v="0"/>
    <x v="0"/>
    <x v="0"/>
  </r>
  <r>
    <x v="0"/>
    <x v="0"/>
    <x v="0"/>
  </r>
  <r>
    <x v="2"/>
    <x v="0"/>
    <x v="0"/>
  </r>
  <r>
    <x v="2"/>
    <x v="0"/>
    <x v="0"/>
  </r>
  <r>
    <x v="0"/>
    <x v="0"/>
    <x v="0"/>
  </r>
  <r>
    <x v="2"/>
    <x v="0"/>
    <x v="0"/>
  </r>
  <r>
    <x v="1"/>
    <x v="0"/>
    <x v="0"/>
  </r>
  <r>
    <x v="1"/>
    <x v="4"/>
    <x v="0"/>
  </r>
  <r>
    <x v="0"/>
    <x v="0"/>
    <x v="0"/>
  </r>
  <r>
    <x v="2"/>
    <x v="0"/>
    <x v="0"/>
  </r>
  <r>
    <x v="2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0"/>
  </r>
  <r>
    <x v="0"/>
    <x v="0"/>
    <x v="0"/>
  </r>
  <r>
    <x v="2"/>
    <x v="0"/>
    <x v="0"/>
  </r>
  <r>
    <x v="0"/>
    <x v="0"/>
    <x v="0"/>
  </r>
  <r>
    <x v="2"/>
    <x v="0"/>
    <x v="0"/>
  </r>
  <r>
    <x v="1"/>
    <x v="0"/>
    <x v="0"/>
  </r>
  <r>
    <x v="2"/>
    <x v="0"/>
    <x v="0"/>
  </r>
  <r>
    <x v="0"/>
    <x v="0"/>
    <x v="0"/>
  </r>
  <r>
    <x v="2"/>
    <x v="0"/>
    <x v="0"/>
  </r>
  <r>
    <x v="0"/>
    <x v="0"/>
    <x v="0"/>
  </r>
  <r>
    <x v="1"/>
    <x v="0"/>
    <x v="0"/>
  </r>
  <r>
    <x v="0"/>
    <x v="0"/>
    <x v="0"/>
  </r>
  <r>
    <x v="0"/>
    <x v="0"/>
    <x v="0"/>
  </r>
  <r>
    <x v="2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2"/>
    <x v="2"/>
    <x v="0"/>
  </r>
  <r>
    <x v="0"/>
    <x v="0"/>
    <x v="0"/>
  </r>
  <r>
    <x v="1"/>
    <x v="0"/>
    <x v="0"/>
  </r>
  <r>
    <x v="2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5"/>
    <x v="3"/>
  </r>
  <r>
    <x v="0"/>
    <x v="0"/>
    <x v="0"/>
  </r>
  <r>
    <x v="1"/>
    <x v="2"/>
    <x v="0"/>
  </r>
  <r>
    <x v="0"/>
    <x v="0"/>
    <x v="0"/>
  </r>
  <r>
    <x v="2"/>
    <x v="0"/>
    <x v="0"/>
  </r>
  <r>
    <x v="2"/>
    <x v="0"/>
    <x v="0"/>
  </r>
  <r>
    <x v="1"/>
    <x v="0"/>
    <x v="0"/>
  </r>
  <r>
    <x v="0"/>
    <x v="3"/>
    <x v="1"/>
  </r>
  <r>
    <x v="2"/>
    <x v="0"/>
    <x v="0"/>
  </r>
  <r>
    <x v="1"/>
    <x v="0"/>
    <x v="0"/>
  </r>
  <r>
    <x v="2"/>
    <x v="3"/>
    <x v="1"/>
  </r>
  <r>
    <x v="1"/>
    <x v="0"/>
    <x v="0"/>
  </r>
  <r>
    <x v="2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5"/>
    <x v="3"/>
  </r>
  <r>
    <x v="0"/>
    <x v="3"/>
    <x v="1"/>
  </r>
  <r>
    <x v="0"/>
    <x v="0"/>
    <x v="0"/>
  </r>
  <r>
    <x v="2"/>
    <x v="2"/>
    <x v="0"/>
  </r>
  <r>
    <x v="0"/>
    <x v="0"/>
    <x v="0"/>
  </r>
  <r>
    <x v="0"/>
    <x v="0"/>
    <x v="0"/>
  </r>
  <r>
    <x v="2"/>
    <x v="0"/>
    <x v="0"/>
  </r>
  <r>
    <x v="2"/>
    <x v="0"/>
    <x v="0"/>
  </r>
  <r>
    <x v="0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0"/>
    <x v="5"/>
    <x v="3"/>
  </r>
  <r>
    <x v="0"/>
    <x v="0"/>
    <x v="0"/>
  </r>
  <r>
    <x v="1"/>
    <x v="0"/>
    <x v="0"/>
  </r>
  <r>
    <x v="2"/>
    <x v="0"/>
    <x v="0"/>
  </r>
  <r>
    <x v="2"/>
    <x v="0"/>
    <x v="0"/>
  </r>
  <r>
    <x v="0"/>
    <x v="0"/>
    <x v="0"/>
  </r>
  <r>
    <x v="0"/>
    <x v="0"/>
    <x v="0"/>
  </r>
  <r>
    <x v="2"/>
    <x v="0"/>
    <x v="0"/>
  </r>
  <r>
    <x v="1"/>
    <x v="2"/>
    <x v="0"/>
  </r>
  <r>
    <x v="0"/>
    <x v="0"/>
    <x v="0"/>
  </r>
  <r>
    <x v="1"/>
    <x v="1"/>
    <x v="0"/>
  </r>
  <r>
    <x v="1"/>
    <x v="0"/>
    <x v="0"/>
  </r>
  <r>
    <x v="0"/>
    <x v="0"/>
    <x v="0"/>
  </r>
  <r>
    <x v="2"/>
    <x v="0"/>
    <x v="0"/>
  </r>
  <r>
    <x v="1"/>
    <x v="0"/>
    <x v="0"/>
  </r>
  <r>
    <x v="2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2"/>
    <x v="0"/>
    <x v="0"/>
  </r>
  <r>
    <x v="2"/>
    <x v="0"/>
    <x v="0"/>
  </r>
  <r>
    <x v="2"/>
    <x v="0"/>
    <x v="0"/>
  </r>
  <r>
    <x v="0"/>
    <x v="0"/>
    <x v="0"/>
  </r>
  <r>
    <x v="2"/>
    <x v="0"/>
    <x v="0"/>
  </r>
  <r>
    <x v="1"/>
    <x v="0"/>
    <x v="0"/>
  </r>
  <r>
    <x v="1"/>
    <x v="0"/>
    <x v="0"/>
  </r>
  <r>
    <x v="0"/>
    <x v="0"/>
    <x v="0"/>
  </r>
  <r>
    <x v="2"/>
    <x v="0"/>
    <x v="0"/>
  </r>
  <r>
    <x v="2"/>
    <x v="0"/>
    <x v="0"/>
  </r>
  <r>
    <x v="1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0"/>
  </r>
  <r>
    <x v="2"/>
    <x v="0"/>
    <x v="0"/>
  </r>
  <r>
    <x v="1"/>
    <x v="0"/>
    <x v="0"/>
  </r>
  <r>
    <x v="2"/>
    <x v="0"/>
    <x v="0"/>
  </r>
  <r>
    <x v="2"/>
    <x v="0"/>
    <x v="0"/>
  </r>
  <r>
    <x v="2"/>
    <x v="0"/>
    <x v="0"/>
  </r>
  <r>
    <x v="1"/>
    <x v="0"/>
    <x v="0"/>
  </r>
  <r>
    <x v="0"/>
    <x v="3"/>
    <x v="0"/>
  </r>
  <r>
    <x v="0"/>
    <x v="1"/>
    <x v="0"/>
  </r>
  <r>
    <x v="0"/>
    <x v="0"/>
    <x v="0"/>
  </r>
  <r>
    <x v="0"/>
    <x v="0"/>
    <x v="0"/>
  </r>
  <r>
    <x v="2"/>
    <x v="0"/>
    <x v="0"/>
  </r>
  <r>
    <x v="2"/>
    <x v="0"/>
    <x v="0"/>
  </r>
  <r>
    <x v="2"/>
    <x v="0"/>
    <x v="0"/>
  </r>
  <r>
    <x v="1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0"/>
    <x v="0"/>
  </r>
  <r>
    <x v="1"/>
    <x v="0"/>
    <x v="0"/>
  </r>
  <r>
    <x v="0"/>
    <x v="0"/>
    <x v="0"/>
  </r>
  <r>
    <x v="2"/>
    <x v="0"/>
    <x v="0"/>
  </r>
  <r>
    <x v="1"/>
    <x v="4"/>
    <x v="0"/>
  </r>
  <r>
    <x v="1"/>
    <x v="0"/>
    <x v="0"/>
  </r>
  <r>
    <x v="0"/>
    <x v="0"/>
    <x v="0"/>
  </r>
  <r>
    <x v="2"/>
    <x v="0"/>
    <x v="0"/>
  </r>
  <r>
    <x v="0"/>
    <x v="0"/>
    <x v="0"/>
  </r>
  <r>
    <x v="0"/>
    <x v="0"/>
    <x v="0"/>
  </r>
  <r>
    <x v="2"/>
    <x v="0"/>
    <x v="0"/>
  </r>
  <r>
    <x v="0"/>
    <x v="0"/>
    <x v="0"/>
  </r>
  <r>
    <x v="1"/>
    <x v="0"/>
    <x v="0"/>
  </r>
  <r>
    <x v="2"/>
    <x v="0"/>
    <x v="0"/>
  </r>
  <r>
    <x v="1"/>
    <x v="0"/>
    <x v="0"/>
  </r>
  <r>
    <x v="1"/>
    <x v="0"/>
    <x v="0"/>
  </r>
  <r>
    <x v="2"/>
    <x v="0"/>
    <x v="0"/>
  </r>
  <r>
    <x v="3"/>
    <x v="0"/>
    <x v="0"/>
  </r>
  <r>
    <x v="3"/>
    <x v="0"/>
    <x v="0"/>
  </r>
  <r>
    <x v="3"/>
    <x v="0"/>
    <x v="0"/>
  </r>
  <r>
    <x v="3"/>
    <x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04">
  <r>
    <n v="84"/>
    <n v="897"/>
    <n v="85"/>
    <n v="588"/>
    <n v="8"/>
    <n v="12"/>
    <x v="0"/>
    <x v="0"/>
    <x v="0"/>
    <m/>
    <n v="1.8129251700680271"/>
  </r>
  <r>
    <n v="103"/>
    <n v="770"/>
    <n v="19"/>
    <n v="1030"/>
    <n v="410"/>
    <n v="262"/>
    <x v="1"/>
    <x v="0"/>
    <x v="0"/>
    <s v="SustainabilityDrive"/>
    <n v="0.86601941747572819"/>
  </r>
  <r>
    <n v="249"/>
    <n v="592"/>
    <n v="230"/>
    <n v="1494"/>
    <n v="1044"/>
    <n v="201"/>
    <x v="0"/>
    <x v="0"/>
    <x v="0"/>
    <s v="SustainabilityDrive"/>
    <n v="0.7168674698795181"/>
  </r>
  <r>
    <n v="129"/>
    <n v="643"/>
    <n v="136"/>
    <n v="1290"/>
    <n v="839"/>
    <n v="238"/>
    <x v="1"/>
    <x v="0"/>
    <x v="0"/>
    <s v="SustainabilityDrive"/>
    <n v="0.70387596899224802"/>
  </r>
  <r>
    <n v="142"/>
    <n v="784"/>
    <n v="183"/>
    <n v="1704"/>
    <n v="995"/>
    <n v="154"/>
    <x v="2"/>
    <x v="0"/>
    <x v="0"/>
    <s v="SustainabilityDrive"/>
    <n v="0.6508215962441315"/>
  </r>
  <r>
    <n v="53"/>
    <n v="81"/>
    <n v="379"/>
    <n v="954"/>
    <n v="7"/>
    <n v="148"/>
    <x v="1"/>
    <x v="0"/>
    <x v="0"/>
    <s v="FSDUpdate"/>
    <n v="0.53773584905660377"/>
  </r>
  <r>
    <n v="59"/>
    <n v="163"/>
    <n v="93"/>
    <n v="590"/>
    <n v="475"/>
    <n v="293"/>
    <x v="1"/>
    <x v="0"/>
    <x v="0"/>
    <s v="ModelYCampaign"/>
    <n v="0.53389830508474578"/>
  </r>
  <r>
    <n v="80"/>
    <n v="362"/>
    <n v="80"/>
    <n v="1040"/>
    <n v="349"/>
    <n v="117"/>
    <x v="1"/>
    <x v="0"/>
    <x v="0"/>
    <s v="FSDUpdate"/>
    <n v="0.50192307692307692"/>
  </r>
  <r>
    <n v="257"/>
    <n v="966"/>
    <n v="398"/>
    <n v="3341"/>
    <n v="2753"/>
    <n v="287"/>
    <x v="2"/>
    <x v="0"/>
    <x v="0"/>
    <s v="CybertruckLaunch"/>
    <n v="0.48518407662376534"/>
  </r>
  <r>
    <n v="199"/>
    <n v="772"/>
    <n v="400"/>
    <n v="3582"/>
    <n v="2988"/>
    <n v="43"/>
    <x v="1"/>
    <x v="0"/>
    <x v="0"/>
    <m/>
    <n v="0.38274706867671693"/>
  </r>
  <r>
    <n v="521"/>
    <n v="746"/>
    <n v="315"/>
    <n v="4168"/>
    <n v="3399"/>
    <n v="282"/>
    <x v="2"/>
    <x v="0"/>
    <x v="0"/>
    <s v="ModelYCampaign"/>
    <n v="0.37955854126679461"/>
  </r>
  <r>
    <n v="804"/>
    <n v="639"/>
    <n v="43"/>
    <n v="4020"/>
    <n v="3144"/>
    <n v="11"/>
    <x v="0"/>
    <x v="1"/>
    <x v="0"/>
    <m/>
    <n v="0.36965174129353234"/>
  </r>
  <r>
    <n v="1000"/>
    <n v="978"/>
    <n v="162"/>
    <n v="6000"/>
    <n v="5221"/>
    <n v="223"/>
    <x v="0"/>
    <x v="0"/>
    <x v="0"/>
    <s v="ModelYCampaign"/>
    <n v="0.35666666666666669"/>
  </r>
  <r>
    <n v="736"/>
    <n v="771"/>
    <n v="225"/>
    <n v="5152"/>
    <n v="4706"/>
    <n v="19"/>
    <x v="0"/>
    <x v="0"/>
    <x v="0"/>
    <s v="CybertruckLaunch"/>
    <n v="0.33618012422360249"/>
  </r>
  <r>
    <n v="498"/>
    <n v="701"/>
    <n v="412"/>
    <n v="4980"/>
    <n v="4185"/>
    <n v="185"/>
    <x v="2"/>
    <x v="0"/>
    <x v="0"/>
    <m/>
    <n v="0.32349397590361445"/>
  </r>
  <r>
    <n v="602"/>
    <n v="594"/>
    <n v="156"/>
    <n v="4214"/>
    <n v="3363"/>
    <n v="164"/>
    <x v="1"/>
    <x v="0"/>
    <x v="0"/>
    <s v="FSDUpdate"/>
    <n v="0.32083531086853345"/>
  </r>
  <r>
    <n v="985"/>
    <n v="932"/>
    <n v="287"/>
    <n v="6895"/>
    <n v="6757"/>
    <n v="64"/>
    <x v="2"/>
    <x v="0"/>
    <x v="0"/>
    <s v="SustainabilityDrive"/>
    <n v="0.31965192168237855"/>
  </r>
  <r>
    <n v="1970"/>
    <n v="675"/>
    <n v="478"/>
    <n v="9850"/>
    <n v="8924"/>
    <n v="117"/>
    <x v="2"/>
    <x v="0"/>
    <x v="0"/>
    <m/>
    <n v="0.31705583756345179"/>
  </r>
  <r>
    <n v="1164"/>
    <n v="616"/>
    <n v="324"/>
    <n v="6984"/>
    <n v="6636"/>
    <n v="82"/>
    <x v="0"/>
    <x v="0"/>
    <x v="0"/>
    <s v="CybertruckLaunch"/>
    <n v="0.30126002290950743"/>
  </r>
  <r>
    <n v="2234"/>
    <n v="653"/>
    <n v="432"/>
    <n v="11170"/>
    <n v="10569"/>
    <n v="198"/>
    <x v="2"/>
    <x v="0"/>
    <x v="0"/>
    <s v="FSDUpdate"/>
    <n v="0.29713518352730528"/>
  </r>
  <r>
    <n v="432"/>
    <n v="171"/>
    <n v="280"/>
    <n v="3024"/>
    <n v="2285"/>
    <n v="184"/>
    <x v="0"/>
    <x v="0"/>
    <x v="0"/>
    <s v="CybertruckLaunch"/>
    <n v="0.29199735449735448"/>
  </r>
  <r>
    <n v="360"/>
    <n v="590"/>
    <n v="393"/>
    <n v="4680"/>
    <n v="4322"/>
    <n v="208"/>
    <x v="2"/>
    <x v="0"/>
    <x v="0"/>
    <s v="ModelYCampaign"/>
    <n v="0.28696581196581195"/>
  </r>
  <r>
    <n v="438"/>
    <n v="153"/>
    <n v="275"/>
    <n v="3066"/>
    <n v="2701"/>
    <n v="282"/>
    <x v="1"/>
    <x v="0"/>
    <x v="0"/>
    <s v="ModelYCampaign"/>
    <n v="0.28245270711024134"/>
  </r>
  <r>
    <n v="1431"/>
    <n v="951"/>
    <n v="26"/>
    <n v="8586"/>
    <n v="8396"/>
    <n v="150"/>
    <x v="0"/>
    <x v="0"/>
    <x v="0"/>
    <s v="FSDUpdate"/>
    <n v="0.28045655718611695"/>
  </r>
  <r>
    <n v="2603"/>
    <n v="690"/>
    <n v="205"/>
    <n v="13015"/>
    <n v="12130"/>
    <n v="20"/>
    <x v="2"/>
    <x v="0"/>
    <x v="0"/>
    <s v="ModelYCampaign"/>
    <n v="0.26876680752977333"/>
  </r>
  <r>
    <n v="886"/>
    <n v="126"/>
    <n v="153"/>
    <n v="4430"/>
    <n v="4037"/>
    <n v="212"/>
    <x v="0"/>
    <x v="0"/>
    <x v="0"/>
    <m/>
    <n v="0.26297968397291194"/>
  </r>
  <r>
    <n v="4661"/>
    <n v="935"/>
    <n v="433"/>
    <n v="23305"/>
    <n v="22583"/>
    <n v="63"/>
    <x v="2"/>
    <x v="0"/>
    <x v="0"/>
    <s v="FSDUpdate"/>
    <n v="0.25869984981763572"/>
  </r>
  <r>
    <n v="562"/>
    <n v="158"/>
    <n v="149"/>
    <n v="3372"/>
    <n v="2940"/>
    <n v="93"/>
    <x v="1"/>
    <x v="0"/>
    <x v="0"/>
    <s v="CybertruckLaunch"/>
    <n v="0.25771055753262156"/>
  </r>
  <r>
    <n v="1188"/>
    <n v="470"/>
    <n v="174"/>
    <n v="7128"/>
    <n v="6145"/>
    <n v="270"/>
    <x v="1"/>
    <x v="0"/>
    <x v="0"/>
    <s v="SustainabilityDrive"/>
    <n v="0.25701459034792368"/>
  </r>
  <r>
    <n v="1741"/>
    <n v="164"/>
    <n v="318"/>
    <n v="8705"/>
    <n v="8272"/>
    <n v="121"/>
    <x v="1"/>
    <x v="0"/>
    <x v="0"/>
    <m/>
    <n v="0.25537047673750718"/>
  </r>
  <r>
    <n v="1877"/>
    <n v="745"/>
    <n v="225"/>
    <n v="11262"/>
    <n v="10967"/>
    <n v="41"/>
    <x v="0"/>
    <x v="0"/>
    <x v="0"/>
    <s v="SustainabilityDrive"/>
    <n v="0.25279701651571657"/>
  </r>
  <r>
    <n v="4188"/>
    <n v="942"/>
    <n v="118"/>
    <n v="20940"/>
    <n v="20471"/>
    <n v="102"/>
    <x v="2"/>
    <x v="0"/>
    <x v="0"/>
    <m/>
    <n v="0.25062082139446035"/>
  </r>
  <r>
    <n v="4236"/>
    <n v="711"/>
    <n v="298"/>
    <n v="21180"/>
    <n v="20516"/>
    <n v="238"/>
    <x v="2"/>
    <x v="0"/>
    <x v="0"/>
    <s v="CybertruckLaunch"/>
    <n v="0.24763928234183191"/>
  </r>
  <r>
    <n v="2166"/>
    <n v="354"/>
    <n v="117"/>
    <n v="10830"/>
    <n v="10245"/>
    <n v="24"/>
    <x v="0"/>
    <x v="0"/>
    <x v="0"/>
    <s v="SustainabilityDrive"/>
    <n v="0.24349030470914126"/>
  </r>
  <r>
    <n v="606"/>
    <n v="789"/>
    <n v="470"/>
    <n v="7878"/>
    <n v="7389"/>
    <n v="239"/>
    <x v="0"/>
    <x v="0"/>
    <x v="0"/>
    <s v="FSDUpdate"/>
    <n v="0.23673521198273673"/>
  </r>
  <r>
    <n v="400"/>
    <n v="680"/>
    <n v="434"/>
    <n v="6400"/>
    <n v="5472"/>
    <n v="160"/>
    <x v="2"/>
    <x v="0"/>
    <x v="0"/>
    <s v="ModelYCampaign"/>
    <n v="0.23656250000000001"/>
  </r>
  <r>
    <n v="4363"/>
    <n v="649"/>
    <n v="140"/>
    <n v="21815"/>
    <n v="21481"/>
    <n v="157"/>
    <x v="0"/>
    <x v="0"/>
    <x v="0"/>
    <s v="CybertruckLaunch"/>
    <n v="0.23616777446710979"/>
  </r>
  <r>
    <n v="780"/>
    <n v="928"/>
    <n v="301"/>
    <n v="8580"/>
    <n v="8081"/>
    <n v="91"/>
    <x v="0"/>
    <x v="0"/>
    <x v="0"/>
    <s v="FSDUpdate"/>
    <n v="0.23414918414918415"/>
  </r>
  <r>
    <n v="3170"/>
    <n v="857"/>
    <n v="379"/>
    <n v="19020"/>
    <n v="18559"/>
    <n v="240"/>
    <x v="2"/>
    <x v="0"/>
    <x v="0"/>
    <m/>
    <n v="0.2316508937960042"/>
  </r>
  <r>
    <n v="4501"/>
    <n v="375"/>
    <n v="323"/>
    <n v="22505"/>
    <n v="21836"/>
    <n v="132"/>
    <x v="1"/>
    <x v="0"/>
    <x v="0"/>
    <s v="ModelYCampaign"/>
    <n v="0.23101532992668297"/>
  </r>
  <r>
    <n v="4561"/>
    <n v="51"/>
    <n v="441"/>
    <n v="22805"/>
    <n v="21890"/>
    <n v="45"/>
    <x v="1"/>
    <x v="0"/>
    <x v="0"/>
    <s v="ModelYCampaign"/>
    <n v="0.22157421618066214"/>
  </r>
  <r>
    <n v="1543"/>
    <n v="820"/>
    <n v="333"/>
    <n v="12344"/>
    <n v="11496"/>
    <n v="241"/>
    <x v="0"/>
    <x v="0"/>
    <x v="0"/>
    <m/>
    <n v="0.21840570317563188"/>
  </r>
  <r>
    <n v="2174"/>
    <n v="658"/>
    <n v="15"/>
    <n v="13044"/>
    <n v="12206"/>
    <n v="137"/>
    <x v="1"/>
    <x v="0"/>
    <x v="0"/>
    <s v="FSDUpdate"/>
    <n v="0.21826126954921804"/>
  </r>
  <r>
    <n v="2120"/>
    <n v="158"/>
    <n v="488"/>
    <n v="12720"/>
    <n v="12085"/>
    <n v="17"/>
    <x v="2"/>
    <x v="0"/>
    <x v="0"/>
    <s v="ModelYCampaign"/>
    <n v="0.21745283018867925"/>
  </r>
  <r>
    <n v="3065"/>
    <n v="772"/>
    <n v="142"/>
    <n v="18390"/>
    <n v="17875"/>
    <n v="200"/>
    <x v="0"/>
    <x v="2"/>
    <x v="0"/>
    <m/>
    <n v="0.21636759108210984"/>
  </r>
  <r>
    <n v="2566"/>
    <n v="118"/>
    <n v="37"/>
    <n v="12830"/>
    <n v="12264"/>
    <n v="221"/>
    <x v="2"/>
    <x v="0"/>
    <x v="0"/>
    <s v="FSDUpdate"/>
    <n v="0.21208106001558846"/>
  </r>
  <r>
    <n v="3008"/>
    <n v="94"/>
    <n v="37"/>
    <n v="15040"/>
    <n v="14639"/>
    <n v="277"/>
    <x v="2"/>
    <x v="0"/>
    <x v="0"/>
    <m/>
    <n v="0.20871010638297871"/>
  </r>
  <r>
    <n v="1436"/>
    <n v="765"/>
    <n v="496"/>
    <n v="12924"/>
    <n v="12701"/>
    <n v="197"/>
    <x v="2"/>
    <x v="0"/>
    <x v="0"/>
    <s v="FSDUpdate"/>
    <n v="0.20868152274837512"/>
  </r>
  <r>
    <n v="3575"/>
    <n v="749"/>
    <n v="111"/>
    <n v="21450"/>
    <n v="20785"/>
    <n v="195"/>
    <x v="0"/>
    <x v="0"/>
    <x v="0"/>
    <s v="ModelYCampaign"/>
    <n v="0.20675990675990677"/>
  </r>
  <r>
    <n v="1249"/>
    <n v="116"/>
    <n v="420"/>
    <n v="8743"/>
    <n v="8538"/>
    <n v="63"/>
    <x v="1"/>
    <x v="0"/>
    <x v="0"/>
    <m/>
    <n v="0.20416333066453163"/>
  </r>
  <r>
    <n v="3134"/>
    <n v="888"/>
    <n v="444"/>
    <n v="21938"/>
    <n v="21337"/>
    <n v="130"/>
    <x v="0"/>
    <x v="0"/>
    <x v="0"/>
    <s v="SustainabilityDrive"/>
    <n v="0.20357370772176134"/>
  </r>
  <r>
    <n v="3601"/>
    <n v="695"/>
    <n v="75"/>
    <n v="21606"/>
    <n v="21454"/>
    <n v="172"/>
    <x v="0"/>
    <x v="0"/>
    <x v="0"/>
    <s v="ModelYCampaign"/>
    <n v="0.2023049153013052"/>
  </r>
  <r>
    <n v="1556"/>
    <n v="195"/>
    <n v="131"/>
    <n v="9336"/>
    <n v="8875"/>
    <n v="137"/>
    <x v="1"/>
    <x v="0"/>
    <x v="0"/>
    <s v="ModelYCampaign"/>
    <n v="0.2015852613538989"/>
  </r>
  <r>
    <n v="4133"/>
    <n v="466"/>
    <n v="327"/>
    <n v="24798"/>
    <n v="24620"/>
    <n v="176"/>
    <x v="0"/>
    <x v="0"/>
    <x v="0"/>
    <s v="SustainabilityDrive"/>
    <n v="0.19864505202032423"/>
  </r>
  <r>
    <n v="1048"/>
    <n v="374"/>
    <n v="450"/>
    <n v="9432"/>
    <n v="8882"/>
    <n v="158"/>
    <x v="1"/>
    <x v="0"/>
    <x v="0"/>
    <s v="FSDUpdate"/>
    <n v="0.19847328244274809"/>
  </r>
  <r>
    <n v="4804"/>
    <n v="550"/>
    <n v="270"/>
    <n v="28824"/>
    <n v="28370"/>
    <n v="47"/>
    <x v="0"/>
    <x v="0"/>
    <x v="0"/>
    <s v="SustainabilityDrive"/>
    <n v="0.19511518179295032"/>
  </r>
  <r>
    <n v="3389"/>
    <n v="344"/>
    <n v="229"/>
    <n v="20334"/>
    <n v="19443"/>
    <n v="228"/>
    <x v="2"/>
    <x v="0"/>
    <x v="0"/>
    <s v="FSDUpdate"/>
    <n v="0.19484607062063539"/>
  </r>
  <r>
    <n v="2610"/>
    <n v="126"/>
    <n v="288"/>
    <n v="15660"/>
    <n v="15145"/>
    <n v="73"/>
    <x v="0"/>
    <x v="0"/>
    <x v="0"/>
    <m/>
    <n v="0.19310344827586207"/>
  </r>
  <r>
    <n v="4177"/>
    <n v="569"/>
    <n v="55"/>
    <n v="25062"/>
    <n v="24847"/>
    <n v="230"/>
    <x v="2"/>
    <x v="0"/>
    <x v="0"/>
    <s v="CybertruckLaunch"/>
    <n v="0.19156491900087783"/>
  </r>
  <r>
    <n v="2278"/>
    <n v="10"/>
    <n v="321"/>
    <n v="13668"/>
    <n v="12676"/>
    <n v="275"/>
    <x v="0"/>
    <x v="0"/>
    <x v="0"/>
    <s v="CybertruckLaunch"/>
    <n v="0.19088381621305239"/>
  </r>
  <r>
    <n v="1869"/>
    <n v="453"/>
    <n v="490"/>
    <n v="14952"/>
    <n v="14309"/>
    <n v="275"/>
    <x v="1"/>
    <x v="0"/>
    <x v="0"/>
    <s v="SustainabilityDrive"/>
    <n v="0.18806848582129482"/>
  </r>
  <r>
    <n v="2120"/>
    <n v="38"/>
    <n v="212"/>
    <n v="12720"/>
    <n v="12564"/>
    <n v="21"/>
    <x v="2"/>
    <x v="0"/>
    <x v="0"/>
    <s v="SustainabilityDrive"/>
    <n v="0.18632075471698112"/>
  </r>
  <r>
    <n v="4767"/>
    <n v="190"/>
    <n v="340"/>
    <n v="28602"/>
    <n v="28044"/>
    <n v="210"/>
    <x v="0"/>
    <x v="0"/>
    <x v="0"/>
    <s v="FSDUpdate"/>
    <n v="0.18519683938186141"/>
  </r>
  <r>
    <n v="456"/>
    <n v="629"/>
    <n v="428"/>
    <n v="8208"/>
    <n v="7377"/>
    <n v="205"/>
    <x v="2"/>
    <x v="0"/>
    <x v="0"/>
    <s v="SustainabilityDrive"/>
    <n v="0.18433235867446393"/>
  </r>
  <r>
    <n v="4731"/>
    <n v="173"/>
    <n v="276"/>
    <n v="28386"/>
    <n v="28185"/>
    <n v="89"/>
    <x v="0"/>
    <x v="0"/>
    <x v="0"/>
    <s v="FSDUpdate"/>
    <n v="0.18248432325794406"/>
  </r>
  <r>
    <n v="2945"/>
    <n v="930"/>
    <n v="355"/>
    <n v="23560"/>
    <n v="23275"/>
    <n v="256"/>
    <x v="1"/>
    <x v="0"/>
    <x v="0"/>
    <s v="ModelYCampaign"/>
    <n v="0.17954159592529711"/>
  </r>
  <r>
    <n v="754"/>
    <n v="197"/>
    <n v="257"/>
    <n v="6786"/>
    <n v="6221"/>
    <n v="212"/>
    <x v="1"/>
    <x v="0"/>
    <x v="0"/>
    <s v="FSDUpdate"/>
    <n v="0.17801355732390214"/>
  </r>
  <r>
    <n v="3024"/>
    <n v="925"/>
    <n v="350"/>
    <n v="24192"/>
    <n v="23518"/>
    <n v="36"/>
    <x v="0"/>
    <x v="0"/>
    <x v="0"/>
    <s v="ModelYCampaign"/>
    <n v="0.17770337301587302"/>
  </r>
  <r>
    <n v="4321"/>
    <n v="874"/>
    <n v="172"/>
    <n v="30247"/>
    <n v="29254"/>
    <n v="122"/>
    <x v="1"/>
    <x v="0"/>
    <x v="0"/>
    <s v="SustainabilityDrive"/>
    <n v="0.17743908486792079"/>
  </r>
  <r>
    <n v="1957"/>
    <n v="877"/>
    <n v="238"/>
    <n v="17613"/>
    <n v="16865"/>
    <n v="297"/>
    <x v="2"/>
    <x v="0"/>
    <x v="0"/>
    <s v="FSDUpdate"/>
    <n v="0.17441662408448305"/>
  </r>
  <r>
    <n v="2147"/>
    <n v="430"/>
    <n v="393"/>
    <n v="17176"/>
    <n v="16483"/>
    <n v="170"/>
    <x v="1"/>
    <x v="0"/>
    <x v="0"/>
    <m/>
    <n v="0.17291569632044715"/>
  </r>
  <r>
    <n v="432"/>
    <n v="624"/>
    <n v="123"/>
    <n v="6912"/>
    <n v="6259"/>
    <n v="79"/>
    <x v="2"/>
    <x v="0"/>
    <x v="0"/>
    <s v="SustainabilityDrive"/>
    <n v="0.17057291666666666"/>
  </r>
  <r>
    <n v="1108"/>
    <n v="177"/>
    <n v="212"/>
    <n v="8864"/>
    <n v="8710"/>
    <n v="97"/>
    <x v="1"/>
    <x v="0"/>
    <x v="0"/>
    <s v="SustainabilityDrive"/>
    <n v="0.16888537906137185"/>
  </r>
  <r>
    <n v="2214"/>
    <n v="249"/>
    <n v="152"/>
    <n v="15498"/>
    <n v="14800"/>
    <n v="180"/>
    <x v="0"/>
    <x v="0"/>
    <x v="0"/>
    <m/>
    <n v="0.16873144921925409"/>
  </r>
  <r>
    <n v="2647"/>
    <n v="304"/>
    <n v="170"/>
    <n v="18529"/>
    <n v="17841"/>
    <n v="46"/>
    <x v="2"/>
    <x v="0"/>
    <x v="0"/>
    <s v="FSDUpdate"/>
    <n v="0.16843866371633656"/>
  </r>
  <r>
    <n v="3704"/>
    <n v="186"/>
    <n v="458"/>
    <n v="25928"/>
    <n v="25081"/>
    <n v="131"/>
    <x v="1"/>
    <x v="0"/>
    <x v="0"/>
    <m/>
    <n v="0.16769515581610614"/>
  </r>
  <r>
    <n v="1741"/>
    <n v="831"/>
    <n v="345"/>
    <n v="17410"/>
    <n v="16844"/>
    <n v="58"/>
    <x v="0"/>
    <x v="0"/>
    <x v="0"/>
    <s v="FSDUpdate"/>
    <n v="0.16754738655944859"/>
  </r>
  <r>
    <n v="3649"/>
    <n v="215"/>
    <n v="413"/>
    <n v="25543"/>
    <n v="24963"/>
    <n v="167"/>
    <x v="2"/>
    <x v="0"/>
    <x v="0"/>
    <s v="FSDUpdate"/>
    <n v="0.16744313510550835"/>
  </r>
  <r>
    <n v="2704"/>
    <n v="752"/>
    <n v="153"/>
    <n v="21632"/>
    <n v="20792"/>
    <n v="127"/>
    <x v="2"/>
    <x v="0"/>
    <x v="0"/>
    <m/>
    <n v="0.16683616863905326"/>
  </r>
  <r>
    <n v="1952"/>
    <n v="344"/>
    <n v="287"/>
    <n v="15616"/>
    <n v="15403"/>
    <n v="235"/>
    <x v="2"/>
    <x v="3"/>
    <x v="1"/>
    <s v="ModelYCampaign"/>
    <n v="0.16540727459016394"/>
  </r>
  <r>
    <n v="1686"/>
    <n v="904"/>
    <n v="472"/>
    <n v="18546"/>
    <n v="18171"/>
    <n v="52"/>
    <x v="2"/>
    <x v="0"/>
    <x v="0"/>
    <s v="ModelYCampaign"/>
    <n v="0.16510298716704411"/>
  </r>
  <r>
    <n v="904"/>
    <n v="973"/>
    <n v="63"/>
    <n v="11752"/>
    <n v="11580"/>
    <n v="84"/>
    <x v="0"/>
    <x v="3"/>
    <x v="1"/>
    <s v="FSDUpdate"/>
    <n v="0.1650782845473111"/>
  </r>
  <r>
    <n v="1094"/>
    <n v="472"/>
    <n v="21"/>
    <n v="9846"/>
    <n v="9609"/>
    <n v="112"/>
    <x v="0"/>
    <x v="0"/>
    <x v="0"/>
    <m/>
    <n v="0.16118220597196831"/>
  </r>
  <r>
    <n v="305"/>
    <n v="187"/>
    <n v="243"/>
    <n v="4575"/>
    <n v="3704"/>
    <n v="234"/>
    <x v="2"/>
    <x v="0"/>
    <x v="0"/>
    <s v="FSDUpdate"/>
    <n v="0.16065573770491803"/>
  </r>
  <r>
    <n v="4453"/>
    <n v="111"/>
    <n v="420"/>
    <n v="31171"/>
    <n v="30565"/>
    <n v="23"/>
    <x v="1"/>
    <x v="0"/>
    <x v="0"/>
    <m/>
    <n v="0.15989220750056141"/>
  </r>
  <r>
    <n v="2089"/>
    <n v="476"/>
    <n v="69"/>
    <n v="16712"/>
    <n v="16309"/>
    <n v="64"/>
    <x v="2"/>
    <x v="0"/>
    <x v="0"/>
    <s v="FSDUpdate"/>
    <n v="0.15761129727142173"/>
  </r>
  <r>
    <n v="947"/>
    <n v="338"/>
    <n v="350"/>
    <n v="10417"/>
    <n v="9730"/>
    <n v="34"/>
    <x v="1"/>
    <x v="0"/>
    <x v="0"/>
    <s v="SustainabilityDrive"/>
    <n v="0.1569549774407219"/>
  </r>
  <r>
    <n v="2291"/>
    <n v="78"/>
    <n v="485"/>
    <n v="18328"/>
    <n v="18101"/>
    <n v="10"/>
    <x v="0"/>
    <x v="4"/>
    <x v="0"/>
    <s v="ModelYCampaign"/>
    <n v="0.15571802706241816"/>
  </r>
  <r>
    <n v="3239"/>
    <n v="43"/>
    <n v="211"/>
    <n v="22673"/>
    <n v="22171"/>
    <n v="230"/>
    <x v="1"/>
    <x v="0"/>
    <x v="0"/>
    <s v="ModelYCampaign"/>
    <n v="0.15405989502933004"/>
  </r>
  <r>
    <n v="4934"/>
    <n v="971"/>
    <n v="156"/>
    <n v="39472"/>
    <n v="39025"/>
    <n v="169"/>
    <x v="1"/>
    <x v="2"/>
    <x v="0"/>
    <s v="SustainabilityDrive"/>
    <n v="0.15355188488042157"/>
  </r>
  <r>
    <n v="1206"/>
    <n v="238"/>
    <n v="36"/>
    <n v="9648"/>
    <n v="9417"/>
    <n v="237"/>
    <x v="1"/>
    <x v="0"/>
    <x v="0"/>
    <m/>
    <n v="0.15339966832504145"/>
  </r>
  <r>
    <n v="3256"/>
    <n v="459"/>
    <n v="266"/>
    <n v="26048"/>
    <n v="25529"/>
    <n v="143"/>
    <x v="1"/>
    <x v="0"/>
    <x v="0"/>
    <s v="ModelYCampaign"/>
    <n v="0.15283323095823095"/>
  </r>
  <r>
    <n v="2404"/>
    <n v="363"/>
    <n v="138"/>
    <n v="19232"/>
    <n v="18636"/>
    <n v="128"/>
    <x v="0"/>
    <x v="0"/>
    <x v="0"/>
    <s v="SustainabilityDrive"/>
    <n v="0.15105033277870217"/>
  </r>
  <r>
    <n v="4242"/>
    <n v="555"/>
    <n v="131"/>
    <n v="33936"/>
    <n v="33802"/>
    <n v="265"/>
    <x v="2"/>
    <x v="0"/>
    <x v="0"/>
    <m/>
    <n v="0.14521452145214522"/>
  </r>
  <r>
    <n v="1176"/>
    <n v="464"/>
    <n v="394"/>
    <n v="14112"/>
    <n v="13588"/>
    <n v="272"/>
    <x v="0"/>
    <x v="0"/>
    <x v="0"/>
    <m/>
    <n v="0.1441326530612245"/>
  </r>
  <r>
    <n v="1330"/>
    <n v="925"/>
    <n v="35"/>
    <n v="15960"/>
    <n v="15379"/>
    <n v="229"/>
    <x v="2"/>
    <x v="0"/>
    <x v="0"/>
    <s v="FSDUpdate"/>
    <n v="0.14348370927318296"/>
  </r>
  <r>
    <n v="1076"/>
    <n v="313"/>
    <n v="306"/>
    <n v="11836"/>
    <n v="11596"/>
    <n v="104"/>
    <x v="2"/>
    <x v="0"/>
    <x v="0"/>
    <s v="CybertruckLaunch"/>
    <n v="0.14320716458262928"/>
  </r>
  <r>
    <n v="4274"/>
    <n v="340"/>
    <n v="281"/>
    <n v="34192"/>
    <n v="33446"/>
    <n v="129"/>
    <x v="1"/>
    <x v="4"/>
    <x v="0"/>
    <s v="FSDUpdate"/>
    <n v="0.14316214319138981"/>
  </r>
  <r>
    <n v="4886"/>
    <n v="983"/>
    <n v="409"/>
    <n v="43974"/>
    <n v="43239"/>
    <n v="65"/>
    <x v="1"/>
    <x v="0"/>
    <x v="0"/>
    <s v="CybertruckLaunch"/>
    <n v="0.14276618001546368"/>
  </r>
  <r>
    <n v="3811"/>
    <n v="866"/>
    <n v="216"/>
    <n v="34299"/>
    <n v="34088"/>
    <n v="233"/>
    <x v="1"/>
    <x v="0"/>
    <x v="0"/>
    <s v="SustainabilityDrive"/>
    <n v="0.14265722032712325"/>
  </r>
  <r>
    <n v="4941"/>
    <n v="414"/>
    <n v="266"/>
    <n v="39528"/>
    <n v="39154"/>
    <n v="217"/>
    <x v="1"/>
    <x v="0"/>
    <x v="0"/>
    <s v="FSDUpdate"/>
    <n v="0.14220299534507186"/>
  </r>
  <r>
    <n v="4750"/>
    <n v="151"/>
    <n v="415"/>
    <n v="38000"/>
    <n v="37792"/>
    <n v="299"/>
    <x v="0"/>
    <x v="0"/>
    <x v="0"/>
    <s v="SustainabilityDrive"/>
    <n v="0.13989473684210527"/>
  </r>
  <r>
    <n v="2581"/>
    <n v="517"/>
    <n v="117"/>
    <n v="23229"/>
    <n v="22331"/>
    <n v="70"/>
    <x v="2"/>
    <x v="0"/>
    <x v="0"/>
    <s v="FSDUpdate"/>
    <n v="0.13840458048129492"/>
  </r>
  <r>
    <n v="3828"/>
    <n v="148"/>
    <n v="253"/>
    <n v="30624"/>
    <n v="30229"/>
    <n v="235"/>
    <x v="0"/>
    <x v="0"/>
    <x v="0"/>
    <m/>
    <n v="0.13809430512016718"/>
  </r>
  <r>
    <n v="3655"/>
    <n v="568"/>
    <n v="286"/>
    <n v="32895"/>
    <n v="32015"/>
    <n v="199"/>
    <x v="1"/>
    <x v="0"/>
    <x v="0"/>
    <s v="FSDUpdate"/>
    <n v="0.13707250341997265"/>
  </r>
  <r>
    <n v="914"/>
    <n v="464"/>
    <n v="246"/>
    <n v="11882"/>
    <n v="11500"/>
    <n v="282"/>
    <x v="2"/>
    <x v="3"/>
    <x v="1"/>
    <s v="SustainabilityDrive"/>
    <n v="0.13667732704931829"/>
  </r>
  <r>
    <n v="3215"/>
    <n v="960"/>
    <n v="202"/>
    <n v="32150"/>
    <n v="31404"/>
    <n v="251"/>
    <x v="0"/>
    <x v="0"/>
    <x v="0"/>
    <s v="CybertruckLaunch"/>
    <n v="0.13614307931570763"/>
  </r>
  <r>
    <n v="3801"/>
    <n v="967"/>
    <n v="401"/>
    <n v="38010"/>
    <n v="37625"/>
    <n v="236"/>
    <x v="2"/>
    <x v="0"/>
    <x v="0"/>
    <s v="FSDUpdate"/>
    <n v="0.13599052880820836"/>
  </r>
  <r>
    <n v="302"/>
    <n v="47"/>
    <n v="430"/>
    <n v="5738"/>
    <n v="4890"/>
    <n v="25"/>
    <x v="1"/>
    <x v="0"/>
    <x v="0"/>
    <s v="SustainabilityDrive"/>
    <n v="0.13576158940397351"/>
  </r>
  <r>
    <n v="4021"/>
    <n v="794"/>
    <n v="77"/>
    <n v="36189"/>
    <n v="35505"/>
    <n v="174"/>
    <x v="0"/>
    <x v="0"/>
    <x v="0"/>
    <m/>
    <n v="0.13517919809886983"/>
  </r>
  <r>
    <n v="2754"/>
    <n v="130"/>
    <n v="90"/>
    <n v="22032"/>
    <n v="21288"/>
    <n v="112"/>
    <x v="1"/>
    <x v="0"/>
    <x v="0"/>
    <s v="FSDUpdate"/>
    <n v="0.13498547567175018"/>
  </r>
  <r>
    <n v="1947"/>
    <n v="842"/>
    <n v="101"/>
    <n v="21417"/>
    <n v="20967"/>
    <n v="186"/>
    <x v="2"/>
    <x v="0"/>
    <x v="0"/>
    <s v="ModelYCampaign"/>
    <n v="0.13493953401503478"/>
  </r>
  <r>
    <n v="4799"/>
    <n v="694"/>
    <n v="289"/>
    <n v="43191"/>
    <n v="42228"/>
    <n v="118"/>
    <x v="1"/>
    <x v="0"/>
    <x v="0"/>
    <m/>
    <n v="0.13387048227640017"/>
  </r>
  <r>
    <n v="1855"/>
    <n v="200"/>
    <n v="174"/>
    <n v="16695"/>
    <n v="16330"/>
    <n v="123"/>
    <x v="1"/>
    <x v="0"/>
    <x v="0"/>
    <s v="FSDUpdate"/>
    <n v="0.13351302785265048"/>
  </r>
  <r>
    <n v="2692"/>
    <n v="115"/>
    <n v="64"/>
    <n v="21536"/>
    <n v="21120"/>
    <n v="224"/>
    <x v="2"/>
    <x v="0"/>
    <x v="0"/>
    <s v="ModelYCampaign"/>
    <n v="0.13331166419019316"/>
  </r>
  <r>
    <n v="4840"/>
    <n v="658"/>
    <n v="211"/>
    <n v="43560"/>
    <n v="43225"/>
    <n v="57"/>
    <x v="2"/>
    <x v="0"/>
    <x v="0"/>
    <s v="FSDUpdate"/>
    <n v="0.13106060606060607"/>
  </r>
  <r>
    <n v="1257"/>
    <n v="19"/>
    <n v="351"/>
    <n v="12570"/>
    <n v="11660"/>
    <n v="194"/>
    <x v="2"/>
    <x v="2"/>
    <x v="2"/>
    <s v="ModelYCampaign"/>
    <n v="0.12943516308671441"/>
  </r>
  <r>
    <n v="4000"/>
    <n v="689"/>
    <n v="488"/>
    <n v="40000"/>
    <n v="39569"/>
    <n v="44"/>
    <x v="2"/>
    <x v="0"/>
    <x v="0"/>
    <s v="CybertruckLaunch"/>
    <n v="0.12942500000000001"/>
  </r>
  <r>
    <n v="2946"/>
    <n v="498"/>
    <n v="367"/>
    <n v="29460"/>
    <n v="28527"/>
    <n v="60"/>
    <x v="2"/>
    <x v="0"/>
    <x v="0"/>
    <s v="FSDUpdate"/>
    <n v="0.12936184657162253"/>
  </r>
  <r>
    <n v="498"/>
    <n v="38"/>
    <n v="42"/>
    <n v="4482"/>
    <n v="3647"/>
    <n v="32"/>
    <x v="2"/>
    <x v="0"/>
    <x v="0"/>
    <s v="CybertruckLaunch"/>
    <n v="0.12896028558679162"/>
  </r>
  <r>
    <n v="1946"/>
    <n v="686"/>
    <n v="377"/>
    <n v="23352"/>
    <n v="22982"/>
    <n v="213"/>
    <x v="2"/>
    <x v="0"/>
    <x v="0"/>
    <s v="FSDUpdate"/>
    <n v="0.12885405960945528"/>
  </r>
  <r>
    <n v="3196"/>
    <n v="941"/>
    <n v="376"/>
    <n v="35156"/>
    <n v="34444"/>
    <n v="241"/>
    <x v="1"/>
    <x v="0"/>
    <x v="0"/>
    <s v="FSDUpdate"/>
    <n v="0.1283706906360223"/>
  </r>
  <r>
    <n v="1407"/>
    <n v="400"/>
    <n v="351"/>
    <n v="16884"/>
    <n v="15954"/>
    <n v="113"/>
    <x v="1"/>
    <x v="0"/>
    <x v="0"/>
    <s v="CybertruckLaunch"/>
    <n v="0.12781331438047855"/>
  </r>
  <r>
    <n v="3138"/>
    <n v="123"/>
    <n v="291"/>
    <n v="28242"/>
    <n v="27550"/>
    <n v="87"/>
    <x v="1"/>
    <x v="0"/>
    <x v="0"/>
    <s v="SustainabilityDrive"/>
    <n v="0.12577012959422137"/>
  </r>
  <r>
    <n v="1813"/>
    <n v="623"/>
    <n v="72"/>
    <n v="19943"/>
    <n v="18959"/>
    <n v="85"/>
    <x v="0"/>
    <x v="0"/>
    <x v="0"/>
    <s v="FSDUpdate"/>
    <n v="0.12575841147269717"/>
  </r>
  <r>
    <n v="3092"/>
    <n v="106"/>
    <n v="291"/>
    <n v="27828"/>
    <n v="27217"/>
    <n v="102"/>
    <x v="2"/>
    <x v="0"/>
    <x v="0"/>
    <m/>
    <n v="0.12537731780940059"/>
  </r>
  <r>
    <n v="3809"/>
    <n v="273"/>
    <n v="200"/>
    <n v="34281"/>
    <n v="33534"/>
    <n v="83"/>
    <x v="0"/>
    <x v="0"/>
    <x v="0"/>
    <s v="CybertruckLaunch"/>
    <n v="0.12490884163239112"/>
  </r>
  <r>
    <n v="2634"/>
    <n v="726"/>
    <n v="241"/>
    <n v="28974"/>
    <n v="28102"/>
    <n v="277"/>
    <x v="0"/>
    <x v="0"/>
    <x v="0"/>
    <s v="CybertruckLaunch"/>
    <n v="0.12428384068475185"/>
  </r>
  <r>
    <n v="880"/>
    <n v="297"/>
    <n v="345"/>
    <n v="12320"/>
    <n v="11978"/>
    <n v="238"/>
    <x v="1"/>
    <x v="2"/>
    <x v="0"/>
    <m/>
    <n v="0.12353896103896105"/>
  </r>
  <r>
    <n v="3874"/>
    <n v="884"/>
    <n v="19"/>
    <n v="38740"/>
    <n v="38552"/>
    <n v="219"/>
    <x v="1"/>
    <x v="0"/>
    <x v="0"/>
    <s v="ModelYCampaign"/>
    <n v="0.123309241094476"/>
  </r>
  <r>
    <n v="3523"/>
    <n v="753"/>
    <n v="482"/>
    <n v="38753"/>
    <n v="38579"/>
    <n v="270"/>
    <x v="0"/>
    <x v="0"/>
    <x v="0"/>
    <s v="ModelYCampaign"/>
    <n v="0.12277759141227776"/>
  </r>
  <r>
    <n v="4134"/>
    <n v="824"/>
    <n v="99"/>
    <n v="41340"/>
    <n v="41050"/>
    <n v="177"/>
    <x v="0"/>
    <x v="0"/>
    <x v="0"/>
    <s v="CybertruckLaunch"/>
    <n v="0.12232704402515723"/>
  </r>
  <r>
    <n v="1674"/>
    <n v="929"/>
    <n v="37"/>
    <n v="21762"/>
    <n v="20998"/>
    <n v="255"/>
    <x v="1"/>
    <x v="0"/>
    <x v="0"/>
    <s v="SustainabilityDrive"/>
    <n v="0.12131237937689551"/>
  </r>
  <r>
    <n v="3767"/>
    <n v="514"/>
    <n v="238"/>
    <n v="37670"/>
    <n v="36807"/>
    <n v="226"/>
    <x v="2"/>
    <x v="0"/>
    <x v="0"/>
    <s v="SustainabilityDrive"/>
    <n v="0.11996283514733209"/>
  </r>
  <r>
    <n v="2551"/>
    <n v="915"/>
    <n v="205"/>
    <n v="30612"/>
    <n v="30360"/>
    <n v="227"/>
    <x v="1"/>
    <x v="0"/>
    <x v="0"/>
    <s v="ModelYCampaign"/>
    <n v="0.1199202926956749"/>
  </r>
  <r>
    <n v="1881"/>
    <n v="501"/>
    <n v="99"/>
    <n v="20691"/>
    <n v="19987"/>
    <n v="289"/>
    <x v="0"/>
    <x v="0"/>
    <x v="0"/>
    <m/>
    <n v="0.11990720603160794"/>
  </r>
  <r>
    <n v="3960"/>
    <n v="266"/>
    <n v="8"/>
    <n v="35640"/>
    <n v="34850"/>
    <n v="208"/>
    <x v="2"/>
    <x v="5"/>
    <x v="3"/>
    <m/>
    <n v="0.11879910213243547"/>
  </r>
  <r>
    <n v="3775"/>
    <n v="16"/>
    <n v="239"/>
    <n v="33975"/>
    <n v="33310"/>
    <n v="271"/>
    <x v="2"/>
    <x v="0"/>
    <x v="0"/>
    <s v="ModelYCampaign"/>
    <n v="0.11861662987490802"/>
  </r>
  <r>
    <n v="1606"/>
    <n v="451"/>
    <n v="405"/>
    <n v="20878"/>
    <n v="20190"/>
    <n v="219"/>
    <x v="0"/>
    <x v="0"/>
    <x v="0"/>
    <s v="SustainabilityDrive"/>
    <n v="0.11792317271769326"/>
  </r>
  <r>
    <n v="1377"/>
    <n v="796"/>
    <n v="387"/>
    <n v="22032"/>
    <n v="21869"/>
    <n v="189"/>
    <x v="2"/>
    <x v="0"/>
    <x v="0"/>
    <m/>
    <n v="0.11619462599854757"/>
  </r>
  <r>
    <n v="1792"/>
    <n v="614"/>
    <n v="497"/>
    <n v="25088"/>
    <n v="24675"/>
    <n v="65"/>
    <x v="2"/>
    <x v="0"/>
    <x v="0"/>
    <s v="SustainabilityDrive"/>
    <n v="0.11571269132653061"/>
  </r>
  <r>
    <n v="4671"/>
    <n v="876"/>
    <n v="366"/>
    <n v="51381"/>
    <n v="50565"/>
    <n v="245"/>
    <x v="1"/>
    <x v="0"/>
    <x v="0"/>
    <s v="SustainabilityDrive"/>
    <n v="0.11508145034156594"/>
  </r>
  <r>
    <n v="2283"/>
    <n v="210"/>
    <n v="130"/>
    <n v="22830"/>
    <n v="22617"/>
    <n v="143"/>
    <x v="2"/>
    <x v="0"/>
    <x v="0"/>
    <s v="ModelYCampaign"/>
    <n v="0.11489268506351293"/>
  </r>
  <r>
    <n v="571"/>
    <n v="190"/>
    <n v="352"/>
    <n v="9707"/>
    <n v="9418"/>
    <n v="231"/>
    <x v="1"/>
    <x v="0"/>
    <x v="0"/>
    <s v="SustainabilityDrive"/>
    <n v="0.11465952405480581"/>
  </r>
  <r>
    <n v="4419"/>
    <n v="236"/>
    <n v="369"/>
    <n v="44190"/>
    <n v="43582"/>
    <n v="10"/>
    <x v="0"/>
    <x v="0"/>
    <x v="0"/>
    <s v="CybertruckLaunch"/>
    <n v="0.11369088028965829"/>
  </r>
  <r>
    <n v="1762"/>
    <n v="405"/>
    <n v="423"/>
    <n v="22906"/>
    <n v="21925"/>
    <n v="25"/>
    <x v="1"/>
    <x v="0"/>
    <x v="0"/>
    <s v="CybertruckLaunch"/>
    <n v="0.11307081114118571"/>
  </r>
  <r>
    <n v="1575"/>
    <n v="771"/>
    <n v="486"/>
    <n v="25200"/>
    <n v="24826"/>
    <n v="17"/>
    <x v="2"/>
    <x v="0"/>
    <x v="0"/>
    <s v="SustainabilityDrive"/>
    <n v="0.11238095238095239"/>
  </r>
  <r>
    <n v="246"/>
    <n v="149"/>
    <n v="130"/>
    <n v="4674"/>
    <n v="4390"/>
    <n v="217"/>
    <x v="2"/>
    <x v="0"/>
    <x v="0"/>
    <s v="FSDUpdate"/>
    <n v="0.11232349165596919"/>
  </r>
  <r>
    <n v="1814"/>
    <n v="653"/>
    <n v="363"/>
    <n v="25396"/>
    <n v="25286"/>
    <n v="39"/>
    <x v="2"/>
    <x v="4"/>
    <x v="0"/>
    <s v="CybertruckLaunch"/>
    <n v="0.11143487163332809"/>
  </r>
  <r>
    <n v="4516"/>
    <n v="836"/>
    <n v="169"/>
    <n v="49676"/>
    <n v="49257"/>
    <n v="282"/>
    <x v="0"/>
    <x v="0"/>
    <x v="0"/>
    <s v="SustainabilityDrive"/>
    <n v="0.11114018842096787"/>
  </r>
  <r>
    <n v="3559"/>
    <n v="59"/>
    <n v="289"/>
    <n v="35590"/>
    <n v="35105"/>
    <n v="122"/>
    <x v="0"/>
    <x v="0"/>
    <x v="0"/>
    <s v="CybertruckLaunch"/>
    <n v="0.10977802753582468"/>
  </r>
  <r>
    <n v="3352"/>
    <n v="941"/>
    <n v="482"/>
    <n v="43576"/>
    <n v="43338"/>
    <n v="240"/>
    <x v="2"/>
    <x v="0"/>
    <x v="0"/>
    <s v="ModelYCampaign"/>
    <n v="0.1095786671562328"/>
  </r>
  <r>
    <n v="4775"/>
    <n v="173"/>
    <n v="206"/>
    <n v="47750"/>
    <n v="47544"/>
    <n v="187"/>
    <x v="2"/>
    <x v="0"/>
    <x v="0"/>
    <s v="ModelYCampaign"/>
    <n v="0.10793717277486911"/>
  </r>
  <r>
    <n v="941"/>
    <n v="121"/>
    <n v="458"/>
    <n v="14115"/>
    <n v="13838"/>
    <n v="87"/>
    <x v="0"/>
    <x v="0"/>
    <x v="0"/>
    <s v="CybertruckLaunch"/>
    <n v="0.10768685795253277"/>
  </r>
  <r>
    <n v="1488"/>
    <n v="417"/>
    <n v="168"/>
    <n v="19344"/>
    <n v="18395"/>
    <n v="30"/>
    <x v="2"/>
    <x v="0"/>
    <x v="0"/>
    <s v="FSDUpdate"/>
    <n v="0.1071650124069479"/>
  </r>
  <r>
    <n v="2164"/>
    <n v="549"/>
    <n v="274"/>
    <n v="28132"/>
    <n v="27361"/>
    <n v="177"/>
    <x v="1"/>
    <x v="0"/>
    <x v="0"/>
    <s v="SustainabilityDrive"/>
    <n v="0.10617801791554102"/>
  </r>
  <r>
    <n v="3820"/>
    <n v="697"/>
    <n v="268"/>
    <n v="45840"/>
    <n v="45631"/>
    <n v="171"/>
    <x v="1"/>
    <x v="4"/>
    <x v="0"/>
    <s v="SustainabilityDrive"/>
    <n v="0.1043848167539267"/>
  </r>
  <r>
    <n v="3929"/>
    <n v="262"/>
    <n v="278"/>
    <n v="43219"/>
    <n v="42841"/>
    <n v="39"/>
    <x v="0"/>
    <x v="0"/>
    <x v="0"/>
    <s v="SustainabilityDrive"/>
    <n v="0.10340359564080613"/>
  </r>
  <r>
    <n v="1238"/>
    <n v="366"/>
    <n v="444"/>
    <n v="19808"/>
    <n v="19334"/>
    <n v="123"/>
    <x v="2"/>
    <x v="0"/>
    <x v="0"/>
    <m/>
    <n v="0.10339256865912763"/>
  </r>
  <r>
    <n v="3000"/>
    <n v="382"/>
    <n v="325"/>
    <n v="36000"/>
    <n v="35819"/>
    <n v="19"/>
    <x v="2"/>
    <x v="0"/>
    <x v="0"/>
    <s v="CybertruckLaunch"/>
    <n v="0.10297222222222223"/>
  </r>
  <r>
    <n v="4689"/>
    <n v="134"/>
    <n v="403"/>
    <n v="51579"/>
    <n v="50924"/>
    <n v="173"/>
    <x v="1"/>
    <x v="0"/>
    <x v="0"/>
    <s v="SustainabilityDrive"/>
    <n v="0.10132030477519921"/>
  </r>
  <r>
    <n v="4182"/>
    <n v="640"/>
    <n v="240"/>
    <n v="50184"/>
    <n v="49351"/>
    <n v="10"/>
    <x v="1"/>
    <x v="0"/>
    <x v="0"/>
    <s v="FSDUpdate"/>
    <n v="0.10086880280567512"/>
  </r>
  <r>
    <n v="1071"/>
    <n v="519"/>
    <n v="22"/>
    <n v="16065"/>
    <n v="15865"/>
    <n v="103"/>
    <x v="1"/>
    <x v="0"/>
    <x v="0"/>
    <s v="SustainabilityDrive"/>
    <n v="0.10034235916588857"/>
  </r>
  <r>
    <n v="4050"/>
    <n v="871"/>
    <n v="347"/>
    <n v="52650"/>
    <n v="51755"/>
    <n v="209"/>
    <x v="1"/>
    <x v="0"/>
    <x v="0"/>
    <s v="ModelYCampaign"/>
    <n v="0.10005698005698006"/>
  </r>
  <r>
    <n v="4158"/>
    <n v="167"/>
    <n v="241"/>
    <n v="45738"/>
    <n v="45183"/>
    <n v="142"/>
    <x v="2"/>
    <x v="0"/>
    <x v="0"/>
    <m/>
    <n v="9.9829463465827106E-2"/>
  </r>
  <r>
    <n v="3689"/>
    <n v="48"/>
    <n v="306"/>
    <n v="40579"/>
    <n v="39588"/>
    <n v="212"/>
    <x v="0"/>
    <x v="0"/>
    <x v="0"/>
    <s v="ModelYCampaign"/>
    <n v="9.9632815002833983E-2"/>
  </r>
  <r>
    <n v="4285"/>
    <n v="886"/>
    <n v="376"/>
    <n v="55705"/>
    <n v="55556"/>
    <n v="51"/>
    <x v="2"/>
    <x v="0"/>
    <x v="0"/>
    <s v="FSDUpdate"/>
    <n v="9.9578134817341346E-2"/>
  </r>
  <r>
    <n v="4858"/>
    <n v="317"/>
    <n v="129"/>
    <n v="53438"/>
    <n v="52687"/>
    <n v="223"/>
    <x v="0"/>
    <x v="0"/>
    <x v="0"/>
    <s v="FSDUpdate"/>
    <n v="9.9255211647142488E-2"/>
  </r>
  <r>
    <n v="4771"/>
    <n v="818"/>
    <n v="56"/>
    <n v="57252"/>
    <n v="56378"/>
    <n v="150"/>
    <x v="2"/>
    <x v="0"/>
    <x v="0"/>
    <m/>
    <n v="9.859917557465242E-2"/>
  </r>
  <r>
    <n v="2358"/>
    <n v="784"/>
    <n v="344"/>
    <n v="35370"/>
    <n v="34475"/>
    <n v="216"/>
    <x v="1"/>
    <x v="0"/>
    <x v="0"/>
    <m/>
    <n v="9.8558100084817649E-2"/>
  </r>
  <r>
    <n v="1018"/>
    <n v="447"/>
    <n v="332"/>
    <n v="18324"/>
    <n v="18164"/>
    <n v="38"/>
    <x v="2"/>
    <x v="0"/>
    <x v="0"/>
    <s v="ModelYCampaign"/>
    <n v="9.8068107400130972E-2"/>
  </r>
  <r>
    <n v="3641"/>
    <n v="226"/>
    <n v="46"/>
    <n v="40051"/>
    <n v="39319"/>
    <n v="296"/>
    <x v="0"/>
    <x v="0"/>
    <x v="0"/>
    <s v="SustainabilityDrive"/>
    <n v="9.7700431949264685E-2"/>
  </r>
  <r>
    <n v="3592"/>
    <n v="911"/>
    <n v="375"/>
    <n v="50288"/>
    <n v="49490"/>
    <n v="32"/>
    <x v="2"/>
    <x v="0"/>
    <x v="0"/>
    <s v="SustainabilityDrive"/>
    <n v="9.7001272669424113E-2"/>
  </r>
  <r>
    <n v="4523"/>
    <n v="61"/>
    <n v="157"/>
    <n v="49753"/>
    <n v="49329"/>
    <n v="71"/>
    <x v="0"/>
    <x v="0"/>
    <x v="0"/>
    <m/>
    <n v="9.5290736237010829E-2"/>
  </r>
  <r>
    <n v="1816"/>
    <n v="29"/>
    <n v="41"/>
    <n v="19976"/>
    <n v="19262"/>
    <n v="283"/>
    <x v="1"/>
    <x v="0"/>
    <x v="0"/>
    <s v="FSDUpdate"/>
    <n v="9.4413295955146179E-2"/>
  </r>
  <r>
    <n v="4441"/>
    <n v="511"/>
    <n v="70"/>
    <n v="53292"/>
    <n v="53082"/>
    <n v="159"/>
    <x v="0"/>
    <x v="0"/>
    <x v="0"/>
    <s v="SustainabilityDrive"/>
    <n v="9.4235532537716729E-2"/>
  </r>
  <r>
    <n v="2746"/>
    <n v="156"/>
    <n v="203"/>
    <n v="32952"/>
    <n v="32147"/>
    <n v="147"/>
    <x v="0"/>
    <x v="0"/>
    <x v="0"/>
    <s v="CybertruckLaunch"/>
    <n v="9.422796795338674E-2"/>
  </r>
  <r>
    <n v="1292"/>
    <n v="626"/>
    <n v="496"/>
    <n v="25840"/>
    <n v="24916"/>
    <n v="149"/>
    <x v="2"/>
    <x v="0"/>
    <x v="0"/>
    <s v="FSDUpdate"/>
    <n v="9.3421052631578946E-2"/>
  </r>
  <r>
    <n v="2180"/>
    <n v="263"/>
    <n v="387"/>
    <n v="30520"/>
    <n v="30059"/>
    <n v="174"/>
    <x v="0"/>
    <x v="0"/>
    <x v="0"/>
    <m/>
    <n v="9.2726081258191345E-2"/>
  </r>
  <r>
    <n v="1766"/>
    <n v="92"/>
    <n v="424"/>
    <n v="24724"/>
    <n v="24333"/>
    <n v="52"/>
    <x v="0"/>
    <x v="0"/>
    <x v="0"/>
    <m/>
    <n v="9.2298980747451867E-2"/>
  </r>
  <r>
    <n v="1226"/>
    <n v="119"/>
    <n v="7"/>
    <n v="14712"/>
    <n v="14049"/>
    <n v="123"/>
    <x v="0"/>
    <x v="0"/>
    <x v="0"/>
    <s v="SustainabilityDrive"/>
    <n v="9.1897770527460579E-2"/>
  </r>
  <r>
    <n v="3099"/>
    <n v="694"/>
    <n v="171"/>
    <n v="43386"/>
    <n v="42921"/>
    <n v="52"/>
    <x v="1"/>
    <x v="0"/>
    <x v="0"/>
    <s v="FSDUpdate"/>
    <n v="9.1365878393951966E-2"/>
  </r>
  <r>
    <n v="1082"/>
    <n v="209"/>
    <n v="484"/>
    <n v="19476"/>
    <n v="18654"/>
    <n v="20"/>
    <x v="1"/>
    <x v="0"/>
    <x v="0"/>
    <m/>
    <n v="9.1137810638734856E-2"/>
  </r>
  <r>
    <n v="1461"/>
    <n v="184"/>
    <n v="344"/>
    <n v="21915"/>
    <n v="21675"/>
    <n v="15"/>
    <x v="2"/>
    <x v="2"/>
    <x v="0"/>
    <s v="CybertruckLaunch"/>
    <n v="9.0759753593429152E-2"/>
  </r>
  <r>
    <n v="802"/>
    <n v="262"/>
    <n v="244"/>
    <n v="14436"/>
    <n v="14280"/>
    <n v="49"/>
    <x v="0"/>
    <x v="0"/>
    <x v="0"/>
    <s v="CybertruckLaunch"/>
    <n v="9.0606816292601824E-2"/>
  </r>
  <r>
    <n v="3711"/>
    <n v="352"/>
    <n v="290"/>
    <n v="48243"/>
    <n v="47579"/>
    <n v="11"/>
    <x v="1"/>
    <x v="0"/>
    <x v="0"/>
    <s v="CybertruckLaunch"/>
    <n v="9.023070704558174E-2"/>
  </r>
  <r>
    <n v="3009"/>
    <n v="413"/>
    <n v="358"/>
    <n v="42126"/>
    <n v="41309"/>
    <n v="211"/>
    <x v="2"/>
    <x v="0"/>
    <x v="0"/>
    <s v="ModelYCampaign"/>
    <n v="8.9730807577268201E-2"/>
  </r>
  <r>
    <n v="2936"/>
    <n v="439"/>
    <n v="44"/>
    <n v="38168"/>
    <n v="37571"/>
    <n v="22"/>
    <x v="0"/>
    <x v="0"/>
    <x v="0"/>
    <s v="SustainabilityDrive"/>
    <n v="8.9577656675749323E-2"/>
  </r>
  <r>
    <n v="3068"/>
    <n v="137"/>
    <n v="329"/>
    <n v="39884"/>
    <n v="39404"/>
    <n v="266"/>
    <x v="0"/>
    <x v="0"/>
    <x v="0"/>
    <s v="ModelYCampaign"/>
    <n v="8.860696018453515E-2"/>
  </r>
  <r>
    <n v="296"/>
    <n v="60"/>
    <n v="141"/>
    <n v="5624"/>
    <n v="5239"/>
    <n v="88"/>
    <x v="0"/>
    <x v="0"/>
    <x v="0"/>
    <s v="ModelYCampaign"/>
    <n v="8.837126600284495E-2"/>
  </r>
  <r>
    <n v="3784"/>
    <n v="808"/>
    <n v="404"/>
    <n v="56760"/>
    <n v="56343"/>
    <n v="131"/>
    <x v="1"/>
    <x v="0"/>
    <x v="0"/>
    <s v="ModelYCampaign"/>
    <n v="8.8019732205778717E-2"/>
  </r>
  <r>
    <n v="4332"/>
    <n v="771"/>
    <n v="219"/>
    <n v="60648"/>
    <n v="60397"/>
    <n v="10"/>
    <x v="1"/>
    <x v="5"/>
    <x v="3"/>
    <s v="FSDUpdate"/>
    <n v="8.7752275425405618E-2"/>
  </r>
  <r>
    <n v="827"/>
    <n v="77"/>
    <n v="402"/>
    <n v="14886"/>
    <n v="14129"/>
    <n v="254"/>
    <x v="0"/>
    <x v="0"/>
    <x v="0"/>
    <s v="ModelYCampaign"/>
    <n v="8.7733440816874911E-2"/>
  </r>
  <r>
    <n v="4739"/>
    <n v="527"/>
    <n v="135"/>
    <n v="61607"/>
    <n v="61333"/>
    <n v="36"/>
    <x v="1"/>
    <x v="2"/>
    <x v="0"/>
    <s v="ModelYCampaign"/>
    <n v="8.7668609086629767E-2"/>
  </r>
  <r>
    <n v="3791"/>
    <n v="593"/>
    <n v="228"/>
    <n v="53074"/>
    <n v="52613"/>
    <n v="205"/>
    <x v="0"/>
    <x v="0"/>
    <x v="0"/>
    <m/>
    <n v="8.6897539284772202E-2"/>
  </r>
  <r>
    <n v="1841"/>
    <n v="851"/>
    <n v="342"/>
    <n v="34979"/>
    <n v="34154"/>
    <n v="255"/>
    <x v="2"/>
    <x v="0"/>
    <x v="0"/>
    <s v="SustainabilityDrive"/>
    <n v="8.6737756939878216E-2"/>
  </r>
  <r>
    <n v="3430"/>
    <n v="566"/>
    <n v="164"/>
    <n v="48020"/>
    <n v="47305"/>
    <n v="120"/>
    <x v="2"/>
    <x v="0"/>
    <x v="0"/>
    <m/>
    <n v="8.6630570595585168E-2"/>
  </r>
  <r>
    <n v="2949"/>
    <n v="476"/>
    <n v="403"/>
    <n v="44235"/>
    <n v="43705"/>
    <n v="135"/>
    <x v="1"/>
    <x v="0"/>
    <x v="0"/>
    <s v="ModelYCampaign"/>
    <n v="8.6537809426924378E-2"/>
  </r>
  <r>
    <n v="929"/>
    <n v="192"/>
    <n v="322"/>
    <n v="16722"/>
    <n v="15996"/>
    <n v="145"/>
    <x v="0"/>
    <x v="3"/>
    <x v="1"/>
    <s v="FSDUpdate"/>
    <n v="8.6293505561535699E-2"/>
  </r>
  <r>
    <n v="1430"/>
    <n v="376"/>
    <n v="33"/>
    <n v="21450"/>
    <n v="20509"/>
    <n v="251"/>
    <x v="2"/>
    <x v="0"/>
    <x v="0"/>
    <s v="CybertruckLaunch"/>
    <n v="8.5734265734265735E-2"/>
  </r>
  <r>
    <n v="4619"/>
    <n v="821"/>
    <n v="499"/>
    <n v="69285"/>
    <n v="69141"/>
    <n v="298"/>
    <x v="1"/>
    <x v="0"/>
    <x v="0"/>
    <s v="SustainabilityDrive"/>
    <n v="8.5718409468138843E-2"/>
  </r>
  <r>
    <n v="725"/>
    <n v="88"/>
    <n v="428"/>
    <n v="14500"/>
    <n v="13637"/>
    <n v="200"/>
    <x v="2"/>
    <x v="3"/>
    <x v="1"/>
    <s v="FSDUpdate"/>
    <n v="8.558620689655172E-2"/>
  </r>
  <r>
    <n v="2509"/>
    <n v="324"/>
    <n v="171"/>
    <n v="35126"/>
    <n v="34685"/>
    <n v="277"/>
    <x v="1"/>
    <x v="0"/>
    <x v="0"/>
    <s v="ModelYCampaign"/>
    <n v="8.5520696919660646E-2"/>
  </r>
  <r>
    <n v="2728"/>
    <n v="533"/>
    <n v="215"/>
    <n v="40920"/>
    <n v="40816"/>
    <n v="137"/>
    <x v="2"/>
    <x v="0"/>
    <x v="0"/>
    <s v="ModelYCampaign"/>
    <n v="8.4946236559139784E-2"/>
  </r>
  <r>
    <n v="4292"/>
    <n v="51"/>
    <n v="392"/>
    <n v="55796"/>
    <n v="54826"/>
    <n v="264"/>
    <x v="0"/>
    <x v="0"/>
    <x v="0"/>
    <s v="FSDUpdate"/>
    <n v="8.4862714173059003E-2"/>
  </r>
  <r>
    <n v="4350"/>
    <n v="771"/>
    <n v="7"/>
    <n v="60900"/>
    <n v="60592"/>
    <n v="195"/>
    <x v="0"/>
    <x v="0"/>
    <x v="0"/>
    <s v="CybertruckLaunch"/>
    <n v="8.4203612479474554E-2"/>
  </r>
  <r>
    <n v="4579"/>
    <n v="125"/>
    <n v="300"/>
    <n v="59527"/>
    <n v="59400"/>
    <n v="269"/>
    <x v="0"/>
    <x v="0"/>
    <x v="0"/>
    <s v="CybertruckLaunch"/>
    <n v="8.4062694239588759E-2"/>
  </r>
  <r>
    <n v="2107"/>
    <n v="550"/>
    <n v="349"/>
    <n v="35819"/>
    <n v="35340"/>
    <n v="191"/>
    <x v="0"/>
    <x v="0"/>
    <x v="0"/>
    <s v="SustainabilityDrive"/>
    <n v="8.3921940869371006E-2"/>
  </r>
  <r>
    <n v="1644"/>
    <n v="546"/>
    <n v="150"/>
    <n v="27948"/>
    <n v="27184"/>
    <n v="300"/>
    <x v="0"/>
    <x v="0"/>
    <x v="0"/>
    <s v="FSDUpdate"/>
    <n v="8.3726921425504502E-2"/>
  </r>
  <r>
    <n v="4494"/>
    <n v="717"/>
    <n v="45"/>
    <n v="62916"/>
    <n v="62688"/>
    <n v="191"/>
    <x v="1"/>
    <x v="5"/>
    <x v="3"/>
    <s v="CybertruckLaunch"/>
    <n v="8.3539958039290485E-2"/>
  </r>
  <r>
    <n v="4275"/>
    <n v="680"/>
    <n v="385"/>
    <n v="64125"/>
    <n v="63650"/>
    <n v="104"/>
    <x v="0"/>
    <x v="3"/>
    <x v="1"/>
    <s v="SustainabilityDrive"/>
    <n v="8.3274853801169585E-2"/>
  </r>
  <r>
    <n v="4853"/>
    <n v="837"/>
    <n v="340"/>
    <n v="72795"/>
    <n v="72237"/>
    <n v="170"/>
    <x v="0"/>
    <x v="0"/>
    <x v="0"/>
    <s v="CybertruckLaunch"/>
    <n v="8.2835359571399134E-2"/>
  </r>
  <r>
    <n v="3160"/>
    <n v="204"/>
    <n v="297"/>
    <n v="44240"/>
    <n v="43666"/>
    <n v="49"/>
    <x v="2"/>
    <x v="2"/>
    <x v="0"/>
    <s v="SustainabilityDrive"/>
    <n v="8.2753164556962022E-2"/>
  </r>
  <r>
    <n v="2696"/>
    <n v="628"/>
    <n v="443"/>
    <n v="45832"/>
    <n v="45632"/>
    <n v="248"/>
    <x v="0"/>
    <x v="0"/>
    <x v="0"/>
    <s v="SustainabilityDrive"/>
    <n v="8.21914819340199E-2"/>
  </r>
  <r>
    <n v="1871"/>
    <n v="252"/>
    <n v="335"/>
    <n v="29936"/>
    <n v="29576"/>
    <n v="288"/>
    <x v="0"/>
    <x v="0"/>
    <x v="0"/>
    <s v="FSDUpdate"/>
    <n v="8.2108498129342594E-2"/>
  </r>
  <r>
    <n v="954"/>
    <n v="324"/>
    <n v="288"/>
    <n v="19080"/>
    <n v="18859"/>
    <n v="21"/>
    <x v="2"/>
    <x v="0"/>
    <x v="0"/>
    <s v="SustainabilityDrive"/>
    <n v="8.2075471698113203E-2"/>
  </r>
  <r>
    <n v="2878"/>
    <n v="248"/>
    <n v="416"/>
    <n v="43170"/>
    <n v="42667"/>
    <n v="75"/>
    <x v="2"/>
    <x v="0"/>
    <x v="0"/>
    <s v="FSDUpdate"/>
    <n v="8.2047718322909427E-2"/>
  </r>
  <r>
    <n v="4808"/>
    <n v="772"/>
    <n v="320"/>
    <n v="72120"/>
    <n v="71696"/>
    <n v="195"/>
    <x v="0"/>
    <x v="0"/>
    <x v="0"/>
    <s v="CybertruckLaunch"/>
    <n v="8.1808097615085965E-2"/>
  </r>
  <r>
    <n v="1121"/>
    <n v="135"/>
    <n v="18"/>
    <n v="15694"/>
    <n v="14957"/>
    <n v="99"/>
    <x v="1"/>
    <x v="0"/>
    <x v="0"/>
    <s v="SustainabilityDrive"/>
    <n v="8.1177520071364848E-2"/>
  </r>
  <r>
    <n v="2825"/>
    <n v="535"/>
    <n v="295"/>
    <n v="45200"/>
    <n v="44739"/>
    <n v="169"/>
    <x v="1"/>
    <x v="0"/>
    <x v="0"/>
    <s v="CybertruckLaunch"/>
    <n v="8.0862831858407078E-2"/>
  </r>
  <r>
    <n v="3432"/>
    <n v="869"/>
    <n v="123"/>
    <n v="54912"/>
    <n v="53916"/>
    <n v="264"/>
    <x v="0"/>
    <x v="0"/>
    <x v="0"/>
    <s v="ModelYCampaign"/>
    <n v="8.0565268065268064E-2"/>
  </r>
  <r>
    <n v="1570"/>
    <n v="187"/>
    <n v="260"/>
    <n v="25120"/>
    <n v="24613"/>
    <n v="133"/>
    <x v="1"/>
    <x v="0"/>
    <x v="0"/>
    <s v="SustainabilityDrive"/>
    <n v="8.0294585987261149E-2"/>
  </r>
  <r>
    <n v="4551"/>
    <n v="714"/>
    <n v="207"/>
    <n v="68265"/>
    <n v="67754"/>
    <n v="57"/>
    <x v="2"/>
    <x v="0"/>
    <x v="0"/>
    <s v="FSDUpdate"/>
    <n v="8.0158206987475278E-2"/>
  </r>
  <r>
    <n v="3090"/>
    <n v="697"/>
    <n v="164"/>
    <n v="49440"/>
    <n v="48524"/>
    <n v="25"/>
    <x v="0"/>
    <x v="5"/>
    <x v="3"/>
    <s v="ModelYCampaign"/>
    <n v="7.9915048543689318E-2"/>
  </r>
  <r>
    <n v="1263"/>
    <n v="397"/>
    <n v="357"/>
    <n v="25260"/>
    <n v="24615"/>
    <n v="137"/>
    <x v="0"/>
    <x v="0"/>
    <x v="0"/>
    <s v="SustainabilityDrive"/>
    <n v="7.984956452889945E-2"/>
  </r>
  <r>
    <n v="3535"/>
    <n v="494"/>
    <n v="152"/>
    <n v="53025"/>
    <n v="52791"/>
    <n v="44"/>
    <x v="1"/>
    <x v="0"/>
    <x v="0"/>
    <s v="SustainabilityDrive"/>
    <n v="7.8849599245638849E-2"/>
  </r>
  <r>
    <n v="2200"/>
    <n v="504"/>
    <n v="239"/>
    <n v="37400"/>
    <n v="36938"/>
    <n v="225"/>
    <x v="2"/>
    <x v="0"/>
    <x v="0"/>
    <s v="ModelYCampaign"/>
    <n v="7.8689839572192513E-2"/>
  </r>
  <r>
    <n v="2103"/>
    <n v="892"/>
    <n v="103"/>
    <n v="39957"/>
    <n v="39466"/>
    <n v="28"/>
    <x v="2"/>
    <x v="0"/>
    <x v="0"/>
    <m/>
    <n v="7.7533348349475686E-2"/>
  </r>
  <r>
    <n v="3663"/>
    <n v="17"/>
    <n v="295"/>
    <n v="51282"/>
    <n v="50567"/>
    <n v="84"/>
    <x v="0"/>
    <x v="0"/>
    <x v="0"/>
    <s v="FSDUpdate"/>
    <n v="7.7512577512577507E-2"/>
  </r>
  <r>
    <n v="1702"/>
    <n v="750"/>
    <n v="179"/>
    <n v="34040"/>
    <n v="33174"/>
    <n v="76"/>
    <x v="0"/>
    <x v="0"/>
    <x v="0"/>
    <s v="CybertruckLaunch"/>
    <n v="7.7291421856639245E-2"/>
  </r>
  <r>
    <n v="4838"/>
    <n v="640"/>
    <n v="128"/>
    <n v="72570"/>
    <n v="72396"/>
    <n v="83"/>
    <x v="2"/>
    <x v="0"/>
    <x v="0"/>
    <s v="SustainabilityDrive"/>
    <n v="7.7249552156538517E-2"/>
  </r>
  <r>
    <n v="1606"/>
    <n v="547"/>
    <n v="316"/>
    <n v="32120"/>
    <n v="31736"/>
    <n v="225"/>
    <x v="1"/>
    <x v="2"/>
    <x v="0"/>
    <s v="ModelYCampaign"/>
    <n v="7.6867995018679955E-2"/>
  </r>
  <r>
    <n v="4518"/>
    <n v="285"/>
    <n v="383"/>
    <n v="67770"/>
    <n v="67621"/>
    <n v="31"/>
    <x v="0"/>
    <x v="0"/>
    <x v="0"/>
    <s v="ModelYCampaign"/>
    <n v="7.6523535487678915E-2"/>
  </r>
  <r>
    <n v="4054"/>
    <n v="389"/>
    <n v="493"/>
    <n v="64864"/>
    <n v="64383"/>
    <n v="117"/>
    <x v="1"/>
    <x v="1"/>
    <x v="0"/>
    <s v="ModelYCampaign"/>
    <n v="7.6097681302417369E-2"/>
  </r>
  <r>
    <n v="1272"/>
    <n v="465"/>
    <n v="99"/>
    <n v="24168"/>
    <n v="23719"/>
    <n v="42"/>
    <x v="1"/>
    <x v="0"/>
    <x v="0"/>
    <m/>
    <n v="7.5968222442899705E-2"/>
  </r>
  <r>
    <n v="1171"/>
    <n v="286"/>
    <n v="231"/>
    <n v="22249"/>
    <n v="21282"/>
    <n v="114"/>
    <x v="0"/>
    <x v="0"/>
    <x v="0"/>
    <s v="CybertruckLaunch"/>
    <n v="7.5868578363072495E-2"/>
  </r>
  <r>
    <n v="3452"/>
    <n v="377"/>
    <n v="360"/>
    <n v="55232"/>
    <n v="55075"/>
    <n v="87"/>
    <x v="2"/>
    <x v="0"/>
    <x v="0"/>
    <s v="FSDUpdate"/>
    <n v="7.5843713789107758E-2"/>
  </r>
  <r>
    <n v="3796"/>
    <n v="667"/>
    <n v="395"/>
    <n v="64532"/>
    <n v="63550"/>
    <n v="292"/>
    <x v="1"/>
    <x v="0"/>
    <x v="0"/>
    <m/>
    <n v="7.5280481001673588E-2"/>
  </r>
  <r>
    <n v="3371"/>
    <n v="106"/>
    <n v="327"/>
    <n v="50565"/>
    <n v="49816"/>
    <n v="176"/>
    <x v="2"/>
    <x v="0"/>
    <x v="0"/>
    <s v="CybertruckLaunch"/>
    <n v="7.5229902106199939E-2"/>
  </r>
  <r>
    <n v="2418"/>
    <n v="754"/>
    <n v="54"/>
    <n v="43524"/>
    <n v="42743"/>
    <n v="182"/>
    <x v="0"/>
    <x v="0"/>
    <x v="0"/>
    <s v="CybertruckLaunch"/>
    <n v="7.412002573292896E-2"/>
  </r>
  <r>
    <n v="2719"/>
    <n v="17"/>
    <n v="285"/>
    <n v="40785"/>
    <n v="40281"/>
    <n v="40"/>
    <x v="1"/>
    <x v="0"/>
    <x v="0"/>
    <s v="ModelYCampaign"/>
    <n v="7.4071349760941527E-2"/>
  </r>
  <r>
    <n v="4450"/>
    <n v="983"/>
    <n v="143"/>
    <n v="75650"/>
    <n v="75008"/>
    <n v="12"/>
    <x v="2"/>
    <x v="0"/>
    <x v="0"/>
    <s v="FSDUpdate"/>
    <n v="7.3707865168539333E-2"/>
  </r>
  <r>
    <n v="1950"/>
    <n v="295"/>
    <n v="478"/>
    <n v="37050"/>
    <n v="36272"/>
    <n v="119"/>
    <x v="1"/>
    <x v="0"/>
    <x v="0"/>
    <m/>
    <n v="7.349527665317139E-2"/>
  </r>
  <r>
    <n v="3813"/>
    <n v="935"/>
    <n v="274"/>
    <n v="68634"/>
    <n v="68488"/>
    <n v="251"/>
    <x v="2"/>
    <x v="0"/>
    <x v="0"/>
    <m/>
    <n v="7.3170731707317069E-2"/>
  </r>
  <r>
    <n v="2751"/>
    <n v="33"/>
    <n v="430"/>
    <n v="44016"/>
    <n v="43415"/>
    <n v="129"/>
    <x v="2"/>
    <x v="0"/>
    <x v="0"/>
    <m/>
    <n v="7.3018902217375503E-2"/>
  </r>
  <r>
    <n v="2382"/>
    <n v="265"/>
    <n v="134"/>
    <n v="38112"/>
    <n v="37437"/>
    <n v="249"/>
    <x v="2"/>
    <x v="0"/>
    <x v="0"/>
    <s v="SustainabilityDrive"/>
    <n v="7.2969143576826198E-2"/>
  </r>
  <r>
    <n v="3073"/>
    <n v="553"/>
    <n v="174"/>
    <n v="52241"/>
    <n v="51605"/>
    <n v="246"/>
    <x v="0"/>
    <x v="0"/>
    <x v="0"/>
    <s v="FSDUpdate"/>
    <n v="7.2739802071170159E-2"/>
  </r>
  <r>
    <n v="4725"/>
    <n v="400"/>
    <n v="362"/>
    <n v="75600"/>
    <n v="74927"/>
    <n v="43"/>
    <x v="2"/>
    <x v="0"/>
    <x v="0"/>
    <s v="SustainabilityDrive"/>
    <n v="7.2579365079365077E-2"/>
  </r>
  <r>
    <n v="3360"/>
    <n v="525"/>
    <n v="500"/>
    <n v="60480"/>
    <n v="59610"/>
    <n v="192"/>
    <x v="1"/>
    <x v="0"/>
    <x v="0"/>
    <s v="CybertruckLaunch"/>
    <n v="7.2503306878306875E-2"/>
  </r>
  <r>
    <n v="3564"/>
    <n v="629"/>
    <n v="177"/>
    <n v="60588"/>
    <n v="59627"/>
    <n v="92"/>
    <x v="1"/>
    <x v="0"/>
    <x v="0"/>
    <m/>
    <n v="7.2126493695121141E-2"/>
  </r>
  <r>
    <n v="4872"/>
    <n v="925"/>
    <n v="176"/>
    <n v="82824"/>
    <n v="82543"/>
    <n v="89"/>
    <x v="0"/>
    <x v="0"/>
    <x v="0"/>
    <s v="ModelYCampaign"/>
    <n v="7.2116777745580993E-2"/>
  </r>
  <r>
    <n v="3961"/>
    <n v="761"/>
    <n v="131"/>
    <n v="67337"/>
    <n v="66615"/>
    <n v="161"/>
    <x v="2"/>
    <x v="0"/>
    <x v="0"/>
    <s v="FSDUpdate"/>
    <n v="7.2070332803659209E-2"/>
  </r>
  <r>
    <n v="4171"/>
    <n v="548"/>
    <n v="86"/>
    <n v="66736"/>
    <n v="66634"/>
    <n v="173"/>
    <x v="2"/>
    <x v="0"/>
    <x v="0"/>
    <s v="FSDUpdate"/>
    <n v="7.2000119875329657E-2"/>
  </r>
  <r>
    <n v="4241"/>
    <n v="902"/>
    <n v="47"/>
    <n v="72097"/>
    <n v="71598"/>
    <n v="167"/>
    <x v="1"/>
    <x v="0"/>
    <x v="0"/>
    <s v="ModelYCampaign"/>
    <n v="7.198635172059864E-2"/>
  </r>
  <r>
    <n v="4663"/>
    <n v="145"/>
    <n v="225"/>
    <n v="69945"/>
    <n v="69596"/>
    <n v="35"/>
    <x v="0"/>
    <x v="0"/>
    <x v="0"/>
    <s v="SustainabilityDrive"/>
    <n v="7.1956537279290869E-2"/>
  </r>
  <r>
    <n v="2072"/>
    <n v="532"/>
    <n v="71"/>
    <n v="37296"/>
    <n v="36467"/>
    <n v="25"/>
    <x v="1"/>
    <x v="0"/>
    <x v="0"/>
    <s v="SustainabilityDrive"/>
    <n v="7.172350922350923E-2"/>
  </r>
  <r>
    <n v="2076"/>
    <n v="195"/>
    <n v="104"/>
    <n v="33216"/>
    <n v="32244"/>
    <n v="51"/>
    <x v="2"/>
    <x v="0"/>
    <x v="0"/>
    <s v="SustainabilityDrive"/>
    <n v="7.1501685934489398E-2"/>
  </r>
  <r>
    <n v="3731"/>
    <n v="115"/>
    <n v="135"/>
    <n v="55965"/>
    <n v="55436"/>
    <n v="103"/>
    <x v="1"/>
    <x v="0"/>
    <x v="0"/>
    <s v="CybertruckLaunch"/>
    <n v="7.1133744304476013E-2"/>
  </r>
  <r>
    <n v="3861"/>
    <n v="960"/>
    <n v="101"/>
    <n v="69498"/>
    <n v="68817"/>
    <n v="297"/>
    <x v="1"/>
    <x v="0"/>
    <x v="0"/>
    <s v="SustainabilityDrive"/>
    <n v="7.0822181933293038E-2"/>
  </r>
  <r>
    <n v="1652"/>
    <n v="89"/>
    <n v="357"/>
    <n v="29736"/>
    <n v="28771"/>
    <n v="215"/>
    <x v="1"/>
    <x v="0"/>
    <x v="0"/>
    <s v="FSDUpdate"/>
    <n v="7.055421038471886E-2"/>
  </r>
  <r>
    <n v="3860"/>
    <n v="201"/>
    <n v="279"/>
    <n v="61760"/>
    <n v="61660"/>
    <n v="235"/>
    <x v="1"/>
    <x v="0"/>
    <x v="0"/>
    <s v="ModelYCampaign"/>
    <n v="7.0272020725388601E-2"/>
  </r>
  <r>
    <n v="2070"/>
    <n v="275"/>
    <n v="386"/>
    <n v="39330"/>
    <n v="38627"/>
    <n v="114"/>
    <x v="2"/>
    <x v="0"/>
    <x v="0"/>
    <s v="SustainabilityDrive"/>
    <n v="6.9438087973557078E-2"/>
  </r>
  <r>
    <n v="3452"/>
    <n v="652"/>
    <n v="442"/>
    <n v="65588"/>
    <n v="65049"/>
    <n v="158"/>
    <x v="2"/>
    <x v="0"/>
    <x v="0"/>
    <s v="FSDUpdate"/>
    <n v="6.9311459413307311E-2"/>
  </r>
  <r>
    <n v="3577"/>
    <n v="596"/>
    <n v="493"/>
    <n v="67963"/>
    <n v="67839"/>
    <n v="53"/>
    <x v="1"/>
    <x v="0"/>
    <x v="0"/>
    <s v="FSDUpdate"/>
    <n v="6.8655003457763777E-2"/>
  </r>
  <r>
    <n v="3182"/>
    <n v="559"/>
    <n v="160"/>
    <n v="57276"/>
    <n v="56890"/>
    <n v="163"/>
    <x v="2"/>
    <x v="0"/>
    <x v="0"/>
    <s v="SustainabilityDrive"/>
    <n v="6.8108806480899509E-2"/>
  </r>
  <r>
    <n v="4780"/>
    <n v="691"/>
    <n v="380"/>
    <n v="86040"/>
    <n v="85743"/>
    <n v="262"/>
    <x v="2"/>
    <x v="0"/>
    <x v="0"/>
    <s v="FSDUpdate"/>
    <n v="6.800325430032543E-2"/>
  </r>
  <r>
    <n v="3770"/>
    <n v="917"/>
    <n v="129"/>
    <n v="71630"/>
    <n v="71322"/>
    <n v="76"/>
    <x v="2"/>
    <x v="0"/>
    <x v="0"/>
    <s v="CybertruckLaunch"/>
    <n v="6.7234398994834563E-2"/>
  </r>
  <r>
    <n v="3774"/>
    <n v="239"/>
    <n v="39"/>
    <n v="60384"/>
    <n v="59490"/>
    <n v="241"/>
    <x v="1"/>
    <x v="0"/>
    <x v="0"/>
    <s v="FSDUpdate"/>
    <n v="6.7103868574456813E-2"/>
  </r>
  <r>
    <n v="3557"/>
    <n v="687"/>
    <n v="424"/>
    <n v="71140"/>
    <n v="70701"/>
    <n v="224"/>
    <x v="0"/>
    <x v="3"/>
    <x v="0"/>
    <s v="CybertruckLaunch"/>
    <n v="6.5617093055946027E-2"/>
  </r>
  <r>
    <n v="3428"/>
    <n v="305"/>
    <n v="85"/>
    <n v="58276"/>
    <n v="58052"/>
    <n v="242"/>
    <x v="0"/>
    <x v="1"/>
    <x v="0"/>
    <s v="SustainabilityDrive"/>
    <n v="6.5515821264328367E-2"/>
  </r>
  <r>
    <n v="4929"/>
    <n v="749"/>
    <n v="452"/>
    <n v="93651"/>
    <n v="92810"/>
    <n v="66"/>
    <x v="0"/>
    <x v="0"/>
    <x v="0"/>
    <s v="SustainabilityDrive"/>
    <n v="6.5455787978772245E-2"/>
  </r>
  <r>
    <n v="4782"/>
    <n v="721"/>
    <n v="82"/>
    <n v="86076"/>
    <n v="85339"/>
    <n v="19"/>
    <x v="0"/>
    <x v="0"/>
    <x v="0"/>
    <s v="CybertruckLaunch"/>
    <n v="6.4884520656164318E-2"/>
  </r>
  <r>
    <n v="4213"/>
    <n v="253"/>
    <n v="434"/>
    <n v="75834"/>
    <n v="75437"/>
    <n v="272"/>
    <x v="2"/>
    <x v="0"/>
    <x v="0"/>
    <s v="SustainabilityDrive"/>
    <n v="6.461481657304112E-2"/>
  </r>
  <r>
    <n v="4126"/>
    <n v="426"/>
    <n v="486"/>
    <n v="78394"/>
    <n v="77798"/>
    <n v="88"/>
    <x v="2"/>
    <x v="0"/>
    <x v="0"/>
    <s v="SustainabilityDrive"/>
    <n v="6.4265122330790625E-2"/>
  </r>
  <r>
    <n v="4187"/>
    <n v="66"/>
    <n v="31"/>
    <n v="66992"/>
    <n v="66614"/>
    <n v="62"/>
    <x v="2"/>
    <x v="0"/>
    <x v="0"/>
    <m/>
    <n v="6.3947934081681396E-2"/>
  </r>
  <r>
    <n v="4054"/>
    <n v="488"/>
    <n v="373"/>
    <n v="77026"/>
    <n v="76881"/>
    <n v="25"/>
    <x v="1"/>
    <x v="0"/>
    <x v="0"/>
    <s v="CybertruckLaunch"/>
    <n v="6.3809622724794221E-2"/>
  </r>
  <r>
    <n v="4712"/>
    <n v="568"/>
    <n v="127"/>
    <n v="84816"/>
    <n v="84691"/>
    <n v="100"/>
    <x v="0"/>
    <x v="0"/>
    <x v="0"/>
    <s v="FSDUpdate"/>
    <n v="6.3749764195434822E-2"/>
  </r>
  <r>
    <n v="4295"/>
    <n v="853"/>
    <n v="325"/>
    <n v="85900"/>
    <n v="85788"/>
    <n v="290"/>
    <x v="1"/>
    <x v="0"/>
    <x v="0"/>
    <s v="SustainabilityDrive"/>
    <n v="6.3713620488940623E-2"/>
  </r>
  <r>
    <n v="3166"/>
    <n v="90"/>
    <n v="341"/>
    <n v="56988"/>
    <n v="56125"/>
    <n v="135"/>
    <x v="0"/>
    <x v="0"/>
    <x v="0"/>
    <s v="ModelYCampaign"/>
    <n v="6.3118551273952411E-2"/>
  </r>
  <r>
    <n v="4606"/>
    <n v="931"/>
    <n v="230"/>
    <n v="92120"/>
    <n v="91440"/>
    <n v="56"/>
    <x v="1"/>
    <x v="0"/>
    <x v="0"/>
    <m/>
    <n v="6.2603126356925748E-2"/>
  </r>
  <r>
    <n v="3718"/>
    <n v="385"/>
    <n v="310"/>
    <n v="70642"/>
    <n v="69749"/>
    <n v="233"/>
    <x v="1"/>
    <x v="0"/>
    <x v="0"/>
    <s v="ModelYCampaign"/>
    <n v="6.246991874522239E-2"/>
  </r>
  <r>
    <n v="4832"/>
    <n v="893"/>
    <n v="10"/>
    <n v="91808"/>
    <n v="91296"/>
    <n v="182"/>
    <x v="1"/>
    <x v="0"/>
    <x v="0"/>
    <m/>
    <n v="6.2467323109097243E-2"/>
  </r>
  <r>
    <n v="2493"/>
    <n v="97"/>
    <n v="44"/>
    <n v="42381"/>
    <n v="41991"/>
    <n v="242"/>
    <x v="1"/>
    <x v="2"/>
    <x v="0"/>
    <s v="SustainabilityDrive"/>
    <n v="6.2150491965739366E-2"/>
  </r>
  <r>
    <n v="3338"/>
    <n v="277"/>
    <n v="118"/>
    <n v="60084"/>
    <n v="59842"/>
    <n v="252"/>
    <x v="1"/>
    <x v="0"/>
    <x v="0"/>
    <m/>
    <n v="6.2129685107516146E-2"/>
  </r>
  <r>
    <n v="4905"/>
    <n v="845"/>
    <n v="129"/>
    <n v="98100"/>
    <n v="97772"/>
    <n v="279"/>
    <x v="1"/>
    <x v="0"/>
    <x v="0"/>
    <s v="ModelYCampaign"/>
    <n v="5.9928644240570844E-2"/>
  </r>
  <r>
    <n v="3128"/>
    <n v="211"/>
    <n v="197"/>
    <n v="59432"/>
    <n v="59182"/>
    <n v="238"/>
    <x v="0"/>
    <x v="0"/>
    <x v="0"/>
    <m/>
    <n v="5.9496567505720827E-2"/>
  </r>
  <r>
    <n v="3888"/>
    <n v="604"/>
    <n v="128"/>
    <n v="77760"/>
    <n v="77167"/>
    <n v="20"/>
    <x v="2"/>
    <x v="0"/>
    <x v="0"/>
    <s v="CybertruckLaunch"/>
    <n v="5.941358024691358E-2"/>
  </r>
  <r>
    <n v="3440"/>
    <n v="13"/>
    <n v="20"/>
    <n v="58480"/>
    <n v="58146"/>
    <n v="210"/>
    <x v="1"/>
    <x v="4"/>
    <x v="0"/>
    <s v="SustainabilityDrive"/>
    <n v="5.9387824897400819E-2"/>
  </r>
  <r>
    <n v="4303"/>
    <n v="451"/>
    <n v="286"/>
    <n v="86060"/>
    <n v="85823"/>
    <n v="14"/>
    <x v="1"/>
    <x v="0"/>
    <x v="0"/>
    <s v="FSDUpdate"/>
    <n v="5.8563792702765516E-2"/>
  </r>
  <r>
    <n v="1509"/>
    <n v="88"/>
    <n v="163"/>
    <n v="30180"/>
    <n v="29689"/>
    <n v="119"/>
    <x v="0"/>
    <x v="0"/>
    <x v="0"/>
    <s v="ModelYCampaign"/>
    <n v="5.8316766070245198E-2"/>
  </r>
  <r>
    <n v="3367"/>
    <n v="302"/>
    <n v="57"/>
    <n v="63973"/>
    <n v="63789"/>
    <n v="157"/>
    <x v="2"/>
    <x v="0"/>
    <x v="0"/>
    <s v="ModelYCampaign"/>
    <n v="5.8243321401216137E-2"/>
  </r>
  <r>
    <n v="2143"/>
    <n v="12"/>
    <n v="204"/>
    <n v="40717"/>
    <n v="40125"/>
    <n v="248"/>
    <x v="0"/>
    <x v="0"/>
    <x v="0"/>
    <s v="ModelYCampaign"/>
    <n v="5.7936488444630008E-2"/>
  </r>
  <r>
    <n v="3095"/>
    <n v="39"/>
    <n v="78"/>
    <n v="55710"/>
    <n v="54808"/>
    <n v="93"/>
    <x v="0"/>
    <x v="0"/>
    <x v="0"/>
    <m/>
    <n v="5.7655717106444085E-2"/>
  </r>
  <r>
    <n v="3773"/>
    <n v="299"/>
    <n v="38"/>
    <n v="71687"/>
    <n v="71447"/>
    <n v="286"/>
    <x v="2"/>
    <x v="0"/>
    <x v="0"/>
    <s v="CybertruckLaunch"/>
    <n v="5.7332570758993957E-2"/>
  </r>
  <r>
    <n v="4672"/>
    <n v="325"/>
    <n v="32"/>
    <n v="88768"/>
    <n v="87833"/>
    <n v="118"/>
    <x v="0"/>
    <x v="0"/>
    <x v="0"/>
    <m/>
    <n v="5.6653298485940883E-2"/>
  </r>
  <r>
    <n v="1878"/>
    <n v="62"/>
    <n v="179"/>
    <n v="37560"/>
    <n v="36874"/>
    <n v="142"/>
    <x v="1"/>
    <x v="0"/>
    <x v="0"/>
    <s v="SustainabilityDrive"/>
    <n v="5.6416400425985093E-2"/>
  </r>
  <r>
    <n v="1963"/>
    <n v="213"/>
    <n v="19"/>
    <n v="39260"/>
    <n v="38771"/>
    <n v="145"/>
    <x v="2"/>
    <x v="0"/>
    <x v="0"/>
    <m/>
    <n v="5.5909322465613857E-2"/>
  </r>
  <r>
    <n v="2795"/>
    <n v="105"/>
    <n v="49"/>
    <n v="53105"/>
    <n v="52307"/>
    <n v="204"/>
    <x v="1"/>
    <x v="0"/>
    <x v="0"/>
    <s v="FSDUpdate"/>
    <n v="5.5531494209584788E-2"/>
  </r>
  <r>
    <n v="3798"/>
    <n v="31"/>
    <n v="279"/>
    <n v="75960"/>
    <n v="75813"/>
    <n v="266"/>
    <x v="1"/>
    <x v="0"/>
    <x v="0"/>
    <s v="CybertruckLaunch"/>
    <n v="5.4081095313322801E-2"/>
  </r>
  <r>
    <n v="4507"/>
    <n v="217"/>
    <n v="13"/>
    <n v="90140"/>
    <n v="89591"/>
    <n v="125"/>
    <x v="2"/>
    <x v="0"/>
    <x v="0"/>
    <s v="FSDUpdate"/>
    <n v="5.2551586421122697E-2"/>
  </r>
  <r>
    <m/>
    <m/>
    <m/>
    <m/>
    <m/>
    <m/>
    <x v="3"/>
    <x v="0"/>
    <x v="0"/>
    <m/>
    <m/>
  </r>
  <r>
    <m/>
    <m/>
    <m/>
    <m/>
    <m/>
    <m/>
    <x v="3"/>
    <x v="0"/>
    <x v="0"/>
    <m/>
    <m/>
  </r>
  <r>
    <m/>
    <m/>
    <m/>
    <m/>
    <m/>
    <m/>
    <x v="3"/>
    <x v="0"/>
    <x v="0"/>
    <m/>
    <m/>
  </r>
  <r>
    <m/>
    <m/>
    <m/>
    <m/>
    <m/>
    <m/>
    <x v="3"/>
    <x v="0"/>
    <x v="0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04">
  <r>
    <n v="84"/>
    <n v="897"/>
    <n v="85"/>
    <n v="588"/>
    <n v="8"/>
    <n v="12"/>
    <s v="#EVRevolution"/>
    <m/>
    <m/>
    <x v="0"/>
  </r>
  <r>
    <n v="103"/>
    <n v="770"/>
    <n v="19"/>
    <n v="1030"/>
    <n v="410"/>
    <n v="262"/>
    <s v="#TeslaCoInnovation"/>
    <m/>
    <m/>
    <x v="1"/>
  </r>
  <r>
    <n v="249"/>
    <n v="592"/>
    <n v="230"/>
    <n v="1494"/>
    <n v="1044"/>
    <n v="201"/>
    <s v="#EVRevolution"/>
    <m/>
    <m/>
    <x v="1"/>
  </r>
  <r>
    <n v="129"/>
    <n v="643"/>
    <n v="136"/>
    <n v="1290"/>
    <n v="839"/>
    <n v="238"/>
    <s v="#TeslaCoInnovation"/>
    <m/>
    <m/>
    <x v="1"/>
  </r>
  <r>
    <n v="142"/>
    <n v="784"/>
    <n v="183"/>
    <n v="1704"/>
    <n v="995"/>
    <n v="154"/>
    <s v="#FutureOfDriving"/>
    <m/>
    <m/>
    <x v="1"/>
  </r>
  <r>
    <n v="53"/>
    <n v="81"/>
    <n v="379"/>
    <n v="954"/>
    <n v="7"/>
    <n v="148"/>
    <s v="#TeslaCoInnovation"/>
    <m/>
    <m/>
    <x v="2"/>
  </r>
  <r>
    <n v="59"/>
    <n v="163"/>
    <n v="93"/>
    <n v="590"/>
    <n v="475"/>
    <n v="293"/>
    <s v="#TeslaCoInnovation"/>
    <m/>
    <m/>
    <x v="3"/>
  </r>
  <r>
    <n v="80"/>
    <n v="362"/>
    <n v="80"/>
    <n v="1040"/>
    <n v="349"/>
    <n v="117"/>
    <s v="#TeslaCoInnovation"/>
    <m/>
    <m/>
    <x v="2"/>
  </r>
  <r>
    <n v="257"/>
    <n v="966"/>
    <n v="398"/>
    <n v="3341"/>
    <n v="2753"/>
    <n v="287"/>
    <s v="#FutureOfDriving"/>
    <m/>
    <m/>
    <x v="4"/>
  </r>
  <r>
    <n v="199"/>
    <n v="772"/>
    <n v="400"/>
    <n v="3582"/>
    <n v="2988"/>
    <n v="43"/>
    <s v="#TeslaCoInnovation"/>
    <m/>
    <m/>
    <x v="0"/>
  </r>
  <r>
    <n v="521"/>
    <n v="746"/>
    <n v="315"/>
    <n v="4168"/>
    <n v="3399"/>
    <n v="282"/>
    <s v="#FutureOfDriving"/>
    <m/>
    <m/>
    <x v="3"/>
  </r>
  <r>
    <n v="804"/>
    <n v="639"/>
    <n v="43"/>
    <n v="4020"/>
    <n v="3144"/>
    <n v="11"/>
    <s v="#EVRevolution"/>
    <s v="#BetterWithTesla"/>
    <m/>
    <x v="0"/>
  </r>
  <r>
    <n v="1000"/>
    <n v="978"/>
    <n v="162"/>
    <n v="6000"/>
    <n v="5221"/>
    <n v="223"/>
    <s v="#EVRevolution"/>
    <m/>
    <m/>
    <x v="3"/>
  </r>
  <r>
    <n v="736"/>
    <n v="771"/>
    <n v="225"/>
    <n v="5152"/>
    <n v="4706"/>
    <n v="19"/>
    <s v="#EVRevolution"/>
    <m/>
    <m/>
    <x v="4"/>
  </r>
  <r>
    <n v="498"/>
    <n v="701"/>
    <n v="412"/>
    <n v="4980"/>
    <n v="4185"/>
    <n v="185"/>
    <s v="#FutureOfDriving"/>
    <m/>
    <m/>
    <x v="0"/>
  </r>
  <r>
    <n v="602"/>
    <n v="594"/>
    <n v="156"/>
    <n v="4214"/>
    <n v="3363"/>
    <n v="164"/>
    <s v="#TeslaCoInnovation"/>
    <m/>
    <m/>
    <x v="2"/>
  </r>
  <r>
    <n v="985"/>
    <n v="932"/>
    <n v="287"/>
    <n v="6895"/>
    <n v="6757"/>
    <n v="64"/>
    <s v="#FutureOfDriving"/>
    <m/>
    <m/>
    <x v="1"/>
  </r>
  <r>
    <n v="1970"/>
    <n v="675"/>
    <n v="478"/>
    <n v="9850"/>
    <n v="8924"/>
    <n v="117"/>
    <s v="#FutureOfDriving"/>
    <m/>
    <m/>
    <x v="0"/>
  </r>
  <r>
    <n v="1164"/>
    <n v="616"/>
    <n v="324"/>
    <n v="6984"/>
    <n v="6636"/>
    <n v="82"/>
    <s v="#EVRevolution"/>
    <m/>
    <m/>
    <x v="4"/>
  </r>
  <r>
    <n v="2234"/>
    <n v="653"/>
    <n v="432"/>
    <n v="11170"/>
    <n v="10569"/>
    <n v="198"/>
    <s v="#FutureOfDriving"/>
    <m/>
    <m/>
    <x v="2"/>
  </r>
  <r>
    <n v="432"/>
    <n v="171"/>
    <n v="280"/>
    <n v="3024"/>
    <n v="2285"/>
    <n v="184"/>
    <s v="#EVRevolution"/>
    <m/>
    <m/>
    <x v="4"/>
  </r>
  <r>
    <n v="360"/>
    <n v="590"/>
    <n v="393"/>
    <n v="4680"/>
    <n v="4322"/>
    <n v="208"/>
    <s v="#FutureOfDriving"/>
    <m/>
    <m/>
    <x v="3"/>
  </r>
  <r>
    <n v="438"/>
    <n v="153"/>
    <n v="275"/>
    <n v="3066"/>
    <n v="2701"/>
    <n v="282"/>
    <s v="#TeslaCoInnovation"/>
    <m/>
    <m/>
    <x v="3"/>
  </r>
  <r>
    <n v="1431"/>
    <n v="951"/>
    <n v="26"/>
    <n v="8586"/>
    <n v="8396"/>
    <n v="150"/>
    <s v="#EVRevolution"/>
    <m/>
    <m/>
    <x v="2"/>
  </r>
  <r>
    <n v="2603"/>
    <n v="690"/>
    <n v="205"/>
    <n v="13015"/>
    <n v="12130"/>
    <n v="20"/>
    <s v="#FutureOfDriving"/>
    <m/>
    <m/>
    <x v="3"/>
  </r>
  <r>
    <n v="886"/>
    <n v="126"/>
    <n v="153"/>
    <n v="4430"/>
    <n v="4037"/>
    <n v="212"/>
    <s v="#EVRevolution"/>
    <m/>
    <m/>
    <x v="0"/>
  </r>
  <r>
    <n v="4661"/>
    <n v="935"/>
    <n v="433"/>
    <n v="23305"/>
    <n v="22583"/>
    <n v="63"/>
    <s v="#FutureOfDriving"/>
    <m/>
    <m/>
    <x v="2"/>
  </r>
  <r>
    <n v="562"/>
    <n v="158"/>
    <n v="149"/>
    <n v="3372"/>
    <n v="2940"/>
    <n v="93"/>
    <s v="#TeslaCoInnovation"/>
    <m/>
    <m/>
    <x v="4"/>
  </r>
  <r>
    <n v="1188"/>
    <n v="470"/>
    <n v="174"/>
    <n v="7128"/>
    <n v="6145"/>
    <n v="270"/>
    <s v="#TeslaCoInnovation"/>
    <m/>
    <m/>
    <x v="1"/>
  </r>
  <r>
    <n v="1741"/>
    <n v="164"/>
    <n v="318"/>
    <n v="8705"/>
    <n v="8272"/>
    <n v="121"/>
    <s v="#TeslaCoInnovation"/>
    <m/>
    <m/>
    <x v="0"/>
  </r>
  <r>
    <n v="1877"/>
    <n v="745"/>
    <n v="225"/>
    <n v="11262"/>
    <n v="10967"/>
    <n v="41"/>
    <s v="#EVRevolution"/>
    <m/>
    <m/>
    <x v="1"/>
  </r>
  <r>
    <n v="4188"/>
    <n v="942"/>
    <n v="118"/>
    <n v="20940"/>
    <n v="20471"/>
    <n v="102"/>
    <s v="#FutureOfDriving"/>
    <m/>
    <m/>
    <x v="0"/>
  </r>
  <r>
    <n v="4236"/>
    <n v="711"/>
    <n v="298"/>
    <n v="21180"/>
    <n v="20516"/>
    <n v="238"/>
    <s v="#FutureOfDriving"/>
    <m/>
    <m/>
    <x v="4"/>
  </r>
  <r>
    <n v="2166"/>
    <n v="354"/>
    <n v="117"/>
    <n v="10830"/>
    <n v="10245"/>
    <n v="24"/>
    <s v="#EVRevolution"/>
    <m/>
    <m/>
    <x v="1"/>
  </r>
  <r>
    <n v="606"/>
    <n v="789"/>
    <n v="470"/>
    <n v="7878"/>
    <n v="7389"/>
    <n v="239"/>
    <s v="#EVRevolution"/>
    <m/>
    <m/>
    <x v="2"/>
  </r>
  <r>
    <n v="400"/>
    <n v="680"/>
    <n v="434"/>
    <n v="6400"/>
    <n v="5472"/>
    <n v="160"/>
    <s v="#FutureOfDriving"/>
    <m/>
    <m/>
    <x v="3"/>
  </r>
  <r>
    <n v="4363"/>
    <n v="649"/>
    <n v="140"/>
    <n v="21815"/>
    <n v="21481"/>
    <n v="157"/>
    <s v="#EVRevolution"/>
    <m/>
    <m/>
    <x v="4"/>
  </r>
  <r>
    <n v="780"/>
    <n v="928"/>
    <n v="301"/>
    <n v="8580"/>
    <n v="8081"/>
    <n v="91"/>
    <s v="#EVRevolution"/>
    <m/>
    <m/>
    <x v="2"/>
  </r>
  <r>
    <n v="3170"/>
    <n v="857"/>
    <n v="379"/>
    <n v="19020"/>
    <n v="18559"/>
    <n v="240"/>
    <s v="#FutureOfDriving"/>
    <m/>
    <m/>
    <x v="0"/>
  </r>
  <r>
    <n v="4501"/>
    <n v="375"/>
    <n v="323"/>
    <n v="22505"/>
    <n v="21836"/>
    <n v="132"/>
    <s v="#TeslaCoInnovation"/>
    <m/>
    <m/>
    <x v="3"/>
  </r>
  <r>
    <n v="4561"/>
    <n v="51"/>
    <n v="441"/>
    <n v="22805"/>
    <n v="21890"/>
    <n v="45"/>
    <s v="#TeslaCoInnovation"/>
    <m/>
    <m/>
    <x v="3"/>
  </r>
  <r>
    <n v="1543"/>
    <n v="820"/>
    <n v="333"/>
    <n v="12344"/>
    <n v="11496"/>
    <n v="241"/>
    <s v="#EVRevolution"/>
    <m/>
    <m/>
    <x v="0"/>
  </r>
  <r>
    <n v="2174"/>
    <n v="658"/>
    <n v="15"/>
    <n v="13044"/>
    <n v="12206"/>
    <n v="137"/>
    <s v="#TeslaCoInnovation"/>
    <m/>
    <m/>
    <x v="2"/>
  </r>
  <r>
    <n v="2120"/>
    <n v="158"/>
    <n v="488"/>
    <n v="12720"/>
    <n v="12085"/>
    <n v="17"/>
    <s v="#FutureOfDriving"/>
    <m/>
    <m/>
    <x v="3"/>
  </r>
  <r>
    <n v="3065"/>
    <n v="772"/>
    <n v="142"/>
    <n v="18390"/>
    <n v="17875"/>
    <n v="200"/>
    <s v="#EVRevolution"/>
    <s v="#AnytimeIsTeslaTime"/>
    <m/>
    <x v="0"/>
  </r>
  <r>
    <n v="2566"/>
    <n v="118"/>
    <n v="37"/>
    <n v="12830"/>
    <n v="12264"/>
    <n v="221"/>
    <s v="#FutureOfDriving"/>
    <m/>
    <m/>
    <x v="2"/>
  </r>
  <r>
    <n v="3008"/>
    <n v="94"/>
    <n v="37"/>
    <n v="15040"/>
    <n v="14639"/>
    <n v="277"/>
    <s v="#FutureOfDriving"/>
    <m/>
    <m/>
    <x v="0"/>
  </r>
  <r>
    <n v="1436"/>
    <n v="765"/>
    <n v="496"/>
    <n v="12924"/>
    <n v="12701"/>
    <n v="197"/>
    <s v="#FutureOfDriving"/>
    <m/>
    <m/>
    <x v="2"/>
  </r>
  <r>
    <n v="3575"/>
    <n v="749"/>
    <n v="111"/>
    <n v="21450"/>
    <n v="20785"/>
    <n v="195"/>
    <s v="#EVRevolution"/>
    <m/>
    <m/>
    <x v="3"/>
  </r>
  <r>
    <n v="1249"/>
    <n v="116"/>
    <n v="420"/>
    <n v="8743"/>
    <n v="8538"/>
    <n v="63"/>
    <s v="#TeslaCoInnovation"/>
    <m/>
    <m/>
    <x v="0"/>
  </r>
  <r>
    <n v="3134"/>
    <n v="888"/>
    <n v="444"/>
    <n v="21938"/>
    <n v="21337"/>
    <n v="130"/>
    <s v="#EVRevolution"/>
    <m/>
    <m/>
    <x v="1"/>
  </r>
  <r>
    <n v="3601"/>
    <n v="695"/>
    <n v="75"/>
    <n v="21606"/>
    <n v="21454"/>
    <n v="172"/>
    <s v="#EVRevolution"/>
    <m/>
    <m/>
    <x v="3"/>
  </r>
  <r>
    <n v="1556"/>
    <n v="195"/>
    <n v="131"/>
    <n v="9336"/>
    <n v="8875"/>
    <n v="137"/>
    <s v="#TeslaCoInnovation"/>
    <m/>
    <m/>
    <x v="3"/>
  </r>
  <r>
    <n v="4133"/>
    <n v="466"/>
    <n v="327"/>
    <n v="24798"/>
    <n v="24620"/>
    <n v="176"/>
    <s v="#EVRevolution"/>
    <m/>
    <m/>
    <x v="1"/>
  </r>
  <r>
    <n v="1048"/>
    <n v="374"/>
    <n v="450"/>
    <n v="9432"/>
    <n v="8882"/>
    <n v="158"/>
    <s v="#TeslaCoInnovation"/>
    <m/>
    <m/>
    <x v="2"/>
  </r>
  <r>
    <n v="4804"/>
    <n v="550"/>
    <n v="270"/>
    <n v="28824"/>
    <n v="28370"/>
    <n v="47"/>
    <s v="#EVRevolution"/>
    <m/>
    <m/>
    <x v="1"/>
  </r>
  <r>
    <n v="3389"/>
    <n v="344"/>
    <n v="229"/>
    <n v="20334"/>
    <n v="19443"/>
    <n v="228"/>
    <s v="#FutureOfDriving"/>
    <m/>
    <m/>
    <x v="2"/>
  </r>
  <r>
    <n v="2610"/>
    <n v="126"/>
    <n v="288"/>
    <n v="15660"/>
    <n v="15145"/>
    <n v="73"/>
    <s v="#EVRevolution"/>
    <m/>
    <m/>
    <x v="0"/>
  </r>
  <r>
    <n v="4177"/>
    <n v="569"/>
    <n v="55"/>
    <n v="25062"/>
    <n v="24847"/>
    <n v="230"/>
    <s v="#FutureOfDriving"/>
    <m/>
    <m/>
    <x v="4"/>
  </r>
  <r>
    <n v="2278"/>
    <n v="10"/>
    <n v="321"/>
    <n v="13668"/>
    <n v="12676"/>
    <n v="275"/>
    <s v="#EVRevolution"/>
    <m/>
    <m/>
    <x v="4"/>
  </r>
  <r>
    <n v="1869"/>
    <n v="453"/>
    <n v="490"/>
    <n v="14952"/>
    <n v="14309"/>
    <n v="275"/>
    <s v="#TeslaCoInnovation"/>
    <m/>
    <m/>
    <x v="1"/>
  </r>
  <r>
    <n v="2120"/>
    <n v="38"/>
    <n v="212"/>
    <n v="12720"/>
    <n v="12564"/>
    <n v="21"/>
    <s v="#FutureOfDriving"/>
    <m/>
    <m/>
    <x v="1"/>
  </r>
  <r>
    <n v="4767"/>
    <n v="190"/>
    <n v="340"/>
    <n v="28602"/>
    <n v="28044"/>
    <n v="210"/>
    <s v="#EVRevolution"/>
    <m/>
    <m/>
    <x v="2"/>
  </r>
  <r>
    <n v="456"/>
    <n v="629"/>
    <n v="428"/>
    <n v="8208"/>
    <n v="7377"/>
    <n v="205"/>
    <s v="#FutureOfDriving"/>
    <m/>
    <m/>
    <x v="1"/>
  </r>
  <r>
    <n v="4731"/>
    <n v="173"/>
    <n v="276"/>
    <n v="28386"/>
    <n v="28185"/>
    <n v="89"/>
    <s v="#EVRevolution"/>
    <m/>
    <m/>
    <x v="2"/>
  </r>
  <r>
    <n v="2945"/>
    <n v="930"/>
    <n v="355"/>
    <n v="23560"/>
    <n v="23275"/>
    <n v="256"/>
    <s v="#TeslaCoInnovation"/>
    <m/>
    <m/>
    <x v="3"/>
  </r>
  <r>
    <n v="754"/>
    <n v="197"/>
    <n v="257"/>
    <n v="6786"/>
    <n v="6221"/>
    <n v="212"/>
    <s v="#TeslaCoInnovation"/>
    <m/>
    <m/>
    <x v="2"/>
  </r>
  <r>
    <n v="3024"/>
    <n v="925"/>
    <n v="350"/>
    <n v="24192"/>
    <n v="23518"/>
    <n v="36"/>
    <s v="#EVRevolution"/>
    <m/>
    <m/>
    <x v="3"/>
  </r>
  <r>
    <n v="4321"/>
    <n v="874"/>
    <n v="172"/>
    <n v="30247"/>
    <n v="29254"/>
    <n v="122"/>
    <s v="#TeslaCoInnovation"/>
    <m/>
    <m/>
    <x v="1"/>
  </r>
  <r>
    <n v="1957"/>
    <n v="877"/>
    <n v="238"/>
    <n v="17613"/>
    <n v="16865"/>
    <n v="297"/>
    <s v="#FutureOfDriving"/>
    <m/>
    <m/>
    <x v="2"/>
  </r>
  <r>
    <n v="2147"/>
    <n v="430"/>
    <n v="393"/>
    <n v="17176"/>
    <n v="16483"/>
    <n v="170"/>
    <s v="#TeslaCoInnovation"/>
    <m/>
    <m/>
    <x v="0"/>
  </r>
  <r>
    <n v="432"/>
    <n v="624"/>
    <n v="123"/>
    <n v="6912"/>
    <n v="6259"/>
    <n v="79"/>
    <s v="#FutureOfDriving"/>
    <m/>
    <m/>
    <x v="1"/>
  </r>
  <r>
    <n v="1108"/>
    <n v="177"/>
    <n v="212"/>
    <n v="8864"/>
    <n v="8710"/>
    <n v="97"/>
    <s v="#TeslaCoInnovation"/>
    <m/>
    <m/>
    <x v="1"/>
  </r>
  <r>
    <n v="2214"/>
    <n v="249"/>
    <n v="152"/>
    <n v="15498"/>
    <n v="14800"/>
    <n v="180"/>
    <s v="#EVRevolution"/>
    <m/>
    <m/>
    <x v="0"/>
  </r>
  <r>
    <n v="2647"/>
    <n v="304"/>
    <n v="170"/>
    <n v="18529"/>
    <n v="17841"/>
    <n v="46"/>
    <s v="#FutureOfDriving"/>
    <m/>
    <m/>
    <x v="2"/>
  </r>
  <r>
    <n v="3704"/>
    <n v="186"/>
    <n v="458"/>
    <n v="25928"/>
    <n v="25081"/>
    <n v="131"/>
    <s v="#TeslaCoInnovation"/>
    <m/>
    <m/>
    <x v="0"/>
  </r>
  <r>
    <n v="1741"/>
    <n v="831"/>
    <n v="345"/>
    <n v="17410"/>
    <n v="16844"/>
    <n v="58"/>
    <s v="#EVRevolution"/>
    <m/>
    <m/>
    <x v="2"/>
  </r>
  <r>
    <n v="3649"/>
    <n v="215"/>
    <n v="413"/>
    <n v="25543"/>
    <n v="24963"/>
    <n v="167"/>
    <s v="#FutureOfDriving"/>
    <m/>
    <m/>
    <x v="2"/>
  </r>
  <r>
    <n v="2704"/>
    <n v="752"/>
    <n v="153"/>
    <n v="21632"/>
    <n v="20792"/>
    <n v="127"/>
    <s v="#FutureOfDriving"/>
    <m/>
    <m/>
    <x v="0"/>
  </r>
  <r>
    <n v="1952"/>
    <n v="344"/>
    <n v="287"/>
    <n v="15616"/>
    <n v="15403"/>
    <n v="235"/>
    <s v="#FutureOfDriving"/>
    <s v="#TeslaCoInnovation"/>
    <s v="#AnytimeIsTeslaTime"/>
    <x v="3"/>
  </r>
  <r>
    <n v="1686"/>
    <n v="904"/>
    <n v="472"/>
    <n v="18546"/>
    <n v="18171"/>
    <n v="52"/>
    <s v="#FutureOfDriving"/>
    <m/>
    <m/>
    <x v="3"/>
  </r>
  <r>
    <n v="904"/>
    <n v="973"/>
    <n v="63"/>
    <n v="11752"/>
    <n v="11580"/>
    <n v="84"/>
    <s v="#EVRevolution"/>
    <s v="#TeslaCoInnovation"/>
    <s v="#AnytimeIsTeslaTime"/>
    <x v="2"/>
  </r>
  <r>
    <n v="1094"/>
    <n v="472"/>
    <n v="21"/>
    <n v="9846"/>
    <n v="9609"/>
    <n v="112"/>
    <s v="#EVRevolution"/>
    <m/>
    <m/>
    <x v="0"/>
  </r>
  <r>
    <n v="305"/>
    <n v="187"/>
    <n v="243"/>
    <n v="4575"/>
    <n v="3704"/>
    <n v="234"/>
    <s v="#FutureOfDriving"/>
    <m/>
    <m/>
    <x v="2"/>
  </r>
  <r>
    <n v="4453"/>
    <n v="111"/>
    <n v="420"/>
    <n v="31171"/>
    <n v="30565"/>
    <n v="23"/>
    <s v="#TeslaCoInnovation"/>
    <m/>
    <m/>
    <x v="0"/>
  </r>
  <r>
    <n v="2089"/>
    <n v="476"/>
    <n v="69"/>
    <n v="16712"/>
    <n v="16309"/>
    <n v="64"/>
    <s v="#FutureOfDriving"/>
    <m/>
    <m/>
    <x v="2"/>
  </r>
  <r>
    <n v="947"/>
    <n v="338"/>
    <n v="350"/>
    <n v="10417"/>
    <n v="9730"/>
    <n v="34"/>
    <s v="#TeslaCoInnovation"/>
    <m/>
    <m/>
    <x v="1"/>
  </r>
  <r>
    <n v="2291"/>
    <n v="78"/>
    <n v="485"/>
    <n v="18328"/>
    <n v="18101"/>
    <n v="10"/>
    <s v="#EVRevolution"/>
    <s v="#SmoothLikeNitroTesla"/>
    <m/>
    <x v="3"/>
  </r>
  <r>
    <n v="3239"/>
    <n v="43"/>
    <n v="211"/>
    <n v="22673"/>
    <n v="22171"/>
    <n v="230"/>
    <s v="#TeslaCoInnovation"/>
    <m/>
    <m/>
    <x v="3"/>
  </r>
  <r>
    <n v="4934"/>
    <n v="971"/>
    <n v="156"/>
    <n v="39472"/>
    <n v="39025"/>
    <n v="169"/>
    <s v="#TeslaCoInnovation"/>
    <s v="#AnytimeIsTeslaTime"/>
    <m/>
    <x v="1"/>
  </r>
  <r>
    <n v="1206"/>
    <n v="238"/>
    <n v="36"/>
    <n v="9648"/>
    <n v="9417"/>
    <n v="237"/>
    <s v="#TeslaCoInnovation"/>
    <m/>
    <m/>
    <x v="0"/>
  </r>
  <r>
    <n v="3256"/>
    <n v="459"/>
    <n v="266"/>
    <n v="26048"/>
    <n v="25529"/>
    <n v="143"/>
    <s v="#TeslaCoInnovation"/>
    <m/>
    <m/>
    <x v="3"/>
  </r>
  <r>
    <n v="2404"/>
    <n v="363"/>
    <n v="138"/>
    <n v="19232"/>
    <n v="18636"/>
    <n v="128"/>
    <s v="#EVRevolution"/>
    <m/>
    <m/>
    <x v="1"/>
  </r>
  <r>
    <n v="4242"/>
    <n v="555"/>
    <n v="131"/>
    <n v="33936"/>
    <n v="33802"/>
    <n v="265"/>
    <s v="#FutureOfDriving"/>
    <m/>
    <m/>
    <x v="0"/>
  </r>
  <r>
    <n v="1176"/>
    <n v="464"/>
    <n v="394"/>
    <n v="14112"/>
    <n v="13588"/>
    <n v="272"/>
    <s v="#EVRevolution"/>
    <m/>
    <m/>
    <x v="0"/>
  </r>
  <r>
    <n v="1330"/>
    <n v="925"/>
    <n v="35"/>
    <n v="15960"/>
    <n v="15379"/>
    <n v="229"/>
    <s v="#FutureOfDriving"/>
    <m/>
    <m/>
    <x v="2"/>
  </r>
  <r>
    <n v="1076"/>
    <n v="313"/>
    <n v="306"/>
    <n v="11836"/>
    <n v="11596"/>
    <n v="104"/>
    <s v="#FutureOfDriving"/>
    <m/>
    <m/>
    <x v="4"/>
  </r>
  <r>
    <n v="4274"/>
    <n v="340"/>
    <n v="281"/>
    <n v="34192"/>
    <n v="33446"/>
    <n v="129"/>
    <s v="#TeslaCoInnovation"/>
    <s v="#SmoothLikeNitroTesla"/>
    <m/>
    <x v="2"/>
  </r>
  <r>
    <n v="4886"/>
    <n v="983"/>
    <n v="409"/>
    <n v="43974"/>
    <n v="43239"/>
    <n v="65"/>
    <s v="#TeslaCoInnovation"/>
    <m/>
    <m/>
    <x v="4"/>
  </r>
  <r>
    <n v="3811"/>
    <n v="866"/>
    <n v="216"/>
    <n v="34299"/>
    <n v="34088"/>
    <n v="233"/>
    <s v="#TeslaCoInnovation"/>
    <m/>
    <m/>
    <x v="1"/>
  </r>
  <r>
    <n v="4941"/>
    <n v="414"/>
    <n v="266"/>
    <n v="39528"/>
    <n v="39154"/>
    <n v="217"/>
    <s v="#TeslaCoInnovation"/>
    <m/>
    <m/>
    <x v="2"/>
  </r>
  <r>
    <n v="4750"/>
    <n v="151"/>
    <n v="415"/>
    <n v="38000"/>
    <n v="37792"/>
    <n v="299"/>
    <s v="#EVRevolution"/>
    <m/>
    <m/>
    <x v="1"/>
  </r>
  <r>
    <n v="2581"/>
    <n v="517"/>
    <n v="117"/>
    <n v="23229"/>
    <n v="22331"/>
    <n v="70"/>
    <s v="#FutureOfDriving"/>
    <m/>
    <m/>
    <x v="2"/>
  </r>
  <r>
    <n v="3828"/>
    <n v="148"/>
    <n v="253"/>
    <n v="30624"/>
    <n v="30229"/>
    <n v="235"/>
    <s v="#EVRevolution"/>
    <m/>
    <m/>
    <x v="0"/>
  </r>
  <r>
    <n v="3655"/>
    <n v="568"/>
    <n v="286"/>
    <n v="32895"/>
    <n v="32015"/>
    <n v="199"/>
    <s v="#TeslaCoInnovation"/>
    <m/>
    <m/>
    <x v="2"/>
  </r>
  <r>
    <n v="914"/>
    <n v="464"/>
    <n v="246"/>
    <n v="11882"/>
    <n v="11500"/>
    <n v="282"/>
    <s v="#FutureOfDriving"/>
    <s v="#TeslaCoInnovation"/>
    <s v="#AnytimeIsTeslaTime"/>
    <x v="1"/>
  </r>
  <r>
    <n v="3215"/>
    <n v="960"/>
    <n v="202"/>
    <n v="32150"/>
    <n v="31404"/>
    <n v="251"/>
    <s v="#EVRevolution"/>
    <m/>
    <m/>
    <x v="4"/>
  </r>
  <r>
    <n v="3801"/>
    <n v="967"/>
    <n v="401"/>
    <n v="38010"/>
    <n v="37625"/>
    <n v="236"/>
    <s v="#FutureOfDriving"/>
    <m/>
    <m/>
    <x v="2"/>
  </r>
  <r>
    <n v="302"/>
    <n v="47"/>
    <n v="430"/>
    <n v="5738"/>
    <n v="4890"/>
    <n v="25"/>
    <s v="#TeslaCoInnovation"/>
    <m/>
    <m/>
    <x v="1"/>
  </r>
  <r>
    <n v="4021"/>
    <n v="794"/>
    <n v="77"/>
    <n v="36189"/>
    <n v="35505"/>
    <n v="174"/>
    <s v="#EVRevolution"/>
    <m/>
    <m/>
    <x v="0"/>
  </r>
  <r>
    <n v="2754"/>
    <n v="130"/>
    <n v="90"/>
    <n v="22032"/>
    <n v="21288"/>
    <n v="112"/>
    <s v="#TeslaCoInnovation"/>
    <m/>
    <m/>
    <x v="2"/>
  </r>
  <r>
    <n v="1947"/>
    <n v="842"/>
    <n v="101"/>
    <n v="21417"/>
    <n v="20967"/>
    <n v="186"/>
    <s v="#FutureOfDriving"/>
    <m/>
    <m/>
    <x v="3"/>
  </r>
  <r>
    <n v="4799"/>
    <n v="694"/>
    <n v="289"/>
    <n v="43191"/>
    <n v="42228"/>
    <n v="118"/>
    <s v="#TeslaCoInnovation"/>
    <m/>
    <m/>
    <x v="0"/>
  </r>
  <r>
    <n v="1855"/>
    <n v="200"/>
    <n v="174"/>
    <n v="16695"/>
    <n v="16330"/>
    <n v="123"/>
    <s v="#TeslaCoInnovation"/>
    <m/>
    <m/>
    <x v="2"/>
  </r>
  <r>
    <n v="2692"/>
    <n v="115"/>
    <n v="64"/>
    <n v="21536"/>
    <n v="21120"/>
    <n v="224"/>
    <s v="#FutureOfDriving"/>
    <m/>
    <m/>
    <x v="3"/>
  </r>
  <r>
    <n v="4840"/>
    <n v="658"/>
    <n v="211"/>
    <n v="43560"/>
    <n v="43225"/>
    <n v="57"/>
    <s v="#FutureOfDriving"/>
    <m/>
    <m/>
    <x v="2"/>
  </r>
  <r>
    <n v="1257"/>
    <n v="19"/>
    <n v="351"/>
    <n v="12570"/>
    <n v="11660"/>
    <n v="194"/>
    <s v="#FutureOfDriving"/>
    <s v="#AnytimeIsTeslaTime"/>
    <s v="#EVRevolution"/>
    <x v="3"/>
  </r>
  <r>
    <n v="4000"/>
    <n v="689"/>
    <n v="488"/>
    <n v="40000"/>
    <n v="39569"/>
    <n v="44"/>
    <s v="#FutureOfDriving"/>
    <m/>
    <m/>
    <x v="4"/>
  </r>
  <r>
    <n v="2946"/>
    <n v="498"/>
    <n v="367"/>
    <n v="29460"/>
    <n v="28527"/>
    <n v="60"/>
    <s v="#FutureOfDriving"/>
    <m/>
    <m/>
    <x v="2"/>
  </r>
  <r>
    <n v="498"/>
    <n v="38"/>
    <n v="42"/>
    <n v="4482"/>
    <n v="3647"/>
    <n v="32"/>
    <s v="#FutureOfDriving"/>
    <m/>
    <m/>
    <x v="4"/>
  </r>
  <r>
    <n v="1946"/>
    <n v="686"/>
    <n v="377"/>
    <n v="23352"/>
    <n v="22982"/>
    <n v="213"/>
    <s v="#FutureOfDriving"/>
    <m/>
    <m/>
    <x v="2"/>
  </r>
  <r>
    <n v="3196"/>
    <n v="941"/>
    <n v="376"/>
    <n v="35156"/>
    <n v="34444"/>
    <n v="241"/>
    <s v="#TeslaCoInnovation"/>
    <m/>
    <m/>
    <x v="2"/>
  </r>
  <r>
    <n v="1407"/>
    <n v="400"/>
    <n v="351"/>
    <n v="16884"/>
    <n v="15954"/>
    <n v="113"/>
    <s v="#TeslaCoInnovation"/>
    <m/>
    <m/>
    <x v="4"/>
  </r>
  <r>
    <n v="3138"/>
    <n v="123"/>
    <n v="291"/>
    <n v="28242"/>
    <n v="27550"/>
    <n v="87"/>
    <s v="#TeslaCoInnovation"/>
    <m/>
    <m/>
    <x v="1"/>
  </r>
  <r>
    <n v="1813"/>
    <n v="623"/>
    <n v="72"/>
    <n v="19943"/>
    <n v="18959"/>
    <n v="85"/>
    <s v="#EVRevolution"/>
    <m/>
    <m/>
    <x v="2"/>
  </r>
  <r>
    <n v="3092"/>
    <n v="106"/>
    <n v="291"/>
    <n v="27828"/>
    <n v="27217"/>
    <n v="102"/>
    <s v="#FutureOfDriving"/>
    <m/>
    <m/>
    <x v="0"/>
  </r>
  <r>
    <n v="3809"/>
    <n v="273"/>
    <n v="200"/>
    <n v="34281"/>
    <n v="33534"/>
    <n v="83"/>
    <s v="#EVRevolution"/>
    <m/>
    <m/>
    <x v="4"/>
  </r>
  <r>
    <n v="2634"/>
    <n v="726"/>
    <n v="241"/>
    <n v="28974"/>
    <n v="28102"/>
    <n v="277"/>
    <s v="#EVRevolution"/>
    <m/>
    <m/>
    <x v="4"/>
  </r>
  <r>
    <n v="880"/>
    <n v="297"/>
    <n v="345"/>
    <n v="12320"/>
    <n v="11978"/>
    <n v="238"/>
    <s v="#TeslaCoInnovation"/>
    <s v="#AnytimeIsTeslaTime"/>
    <m/>
    <x v="0"/>
  </r>
  <r>
    <n v="3874"/>
    <n v="884"/>
    <n v="19"/>
    <n v="38740"/>
    <n v="38552"/>
    <n v="219"/>
    <s v="#TeslaCoInnovation"/>
    <m/>
    <m/>
    <x v="3"/>
  </r>
  <r>
    <n v="3523"/>
    <n v="753"/>
    <n v="482"/>
    <n v="38753"/>
    <n v="38579"/>
    <n v="270"/>
    <s v="#EVRevolution"/>
    <m/>
    <m/>
    <x v="3"/>
  </r>
  <r>
    <n v="4134"/>
    <n v="824"/>
    <n v="99"/>
    <n v="41340"/>
    <n v="41050"/>
    <n v="177"/>
    <s v="#EVRevolution"/>
    <m/>
    <m/>
    <x v="4"/>
  </r>
  <r>
    <n v="1674"/>
    <n v="929"/>
    <n v="37"/>
    <n v="21762"/>
    <n v="20998"/>
    <n v="255"/>
    <s v="#TeslaCoInnovation"/>
    <m/>
    <m/>
    <x v="1"/>
  </r>
  <r>
    <n v="3767"/>
    <n v="514"/>
    <n v="238"/>
    <n v="37670"/>
    <n v="36807"/>
    <n v="226"/>
    <s v="#FutureOfDriving"/>
    <m/>
    <m/>
    <x v="1"/>
  </r>
  <r>
    <n v="2551"/>
    <n v="915"/>
    <n v="205"/>
    <n v="30612"/>
    <n v="30360"/>
    <n v="227"/>
    <s v="#TeslaCoInnovation"/>
    <m/>
    <m/>
    <x v="3"/>
  </r>
  <r>
    <n v="1881"/>
    <n v="501"/>
    <n v="99"/>
    <n v="20691"/>
    <n v="19987"/>
    <n v="289"/>
    <s v="#EVRevolution"/>
    <m/>
    <m/>
    <x v="0"/>
  </r>
  <r>
    <n v="3960"/>
    <n v="266"/>
    <n v="8"/>
    <n v="35640"/>
    <n v="34850"/>
    <n v="208"/>
    <s v="#FutureOfDriving"/>
    <s v="#EVRevolution"/>
    <s v="#BetterWithTesla"/>
    <x v="0"/>
  </r>
  <r>
    <n v="3775"/>
    <n v="16"/>
    <n v="239"/>
    <n v="33975"/>
    <n v="33310"/>
    <n v="271"/>
    <s v="#FutureOfDriving"/>
    <m/>
    <m/>
    <x v="3"/>
  </r>
  <r>
    <n v="1606"/>
    <n v="451"/>
    <n v="405"/>
    <n v="20878"/>
    <n v="20190"/>
    <n v="219"/>
    <s v="#EVRevolution"/>
    <m/>
    <m/>
    <x v="1"/>
  </r>
  <r>
    <n v="1377"/>
    <n v="796"/>
    <n v="387"/>
    <n v="22032"/>
    <n v="21869"/>
    <n v="189"/>
    <s v="#FutureOfDriving"/>
    <m/>
    <m/>
    <x v="0"/>
  </r>
  <r>
    <n v="1792"/>
    <n v="614"/>
    <n v="497"/>
    <n v="25088"/>
    <n v="24675"/>
    <n v="65"/>
    <s v="#FutureOfDriving"/>
    <m/>
    <m/>
    <x v="1"/>
  </r>
  <r>
    <n v="4671"/>
    <n v="876"/>
    <n v="366"/>
    <n v="51381"/>
    <n v="50565"/>
    <n v="245"/>
    <s v="#TeslaCoInnovation"/>
    <m/>
    <m/>
    <x v="1"/>
  </r>
  <r>
    <n v="2283"/>
    <n v="210"/>
    <n v="130"/>
    <n v="22830"/>
    <n v="22617"/>
    <n v="143"/>
    <s v="#FutureOfDriving"/>
    <m/>
    <m/>
    <x v="3"/>
  </r>
  <r>
    <n v="571"/>
    <n v="190"/>
    <n v="352"/>
    <n v="9707"/>
    <n v="9418"/>
    <n v="231"/>
    <s v="#TeslaCoInnovation"/>
    <m/>
    <m/>
    <x v="1"/>
  </r>
  <r>
    <n v="4419"/>
    <n v="236"/>
    <n v="369"/>
    <n v="44190"/>
    <n v="43582"/>
    <n v="10"/>
    <s v="#EVRevolution"/>
    <m/>
    <m/>
    <x v="4"/>
  </r>
  <r>
    <n v="1762"/>
    <n v="405"/>
    <n v="423"/>
    <n v="22906"/>
    <n v="21925"/>
    <n v="25"/>
    <s v="#TeslaCoInnovation"/>
    <m/>
    <m/>
    <x v="4"/>
  </r>
  <r>
    <n v="1575"/>
    <n v="771"/>
    <n v="486"/>
    <n v="25200"/>
    <n v="24826"/>
    <n v="17"/>
    <s v="#FutureOfDriving"/>
    <m/>
    <m/>
    <x v="1"/>
  </r>
  <r>
    <n v="246"/>
    <n v="149"/>
    <n v="130"/>
    <n v="4674"/>
    <n v="4390"/>
    <n v="217"/>
    <s v="#FutureOfDriving"/>
    <m/>
    <m/>
    <x v="2"/>
  </r>
  <r>
    <n v="1814"/>
    <n v="653"/>
    <n v="363"/>
    <n v="25396"/>
    <n v="25286"/>
    <n v="39"/>
    <s v="#FutureOfDriving"/>
    <s v="#SmoothLikeNitroTesla"/>
    <m/>
    <x v="4"/>
  </r>
  <r>
    <n v="4516"/>
    <n v="836"/>
    <n v="169"/>
    <n v="49676"/>
    <n v="49257"/>
    <n v="282"/>
    <s v="#EVRevolution"/>
    <m/>
    <m/>
    <x v="1"/>
  </r>
  <r>
    <n v="3559"/>
    <n v="59"/>
    <n v="289"/>
    <n v="35590"/>
    <n v="35105"/>
    <n v="122"/>
    <s v="#EVRevolution"/>
    <m/>
    <m/>
    <x v="4"/>
  </r>
  <r>
    <n v="3352"/>
    <n v="941"/>
    <n v="482"/>
    <n v="43576"/>
    <n v="43338"/>
    <n v="240"/>
    <s v="#FutureOfDriving"/>
    <m/>
    <m/>
    <x v="3"/>
  </r>
  <r>
    <n v="4775"/>
    <n v="173"/>
    <n v="206"/>
    <n v="47750"/>
    <n v="47544"/>
    <n v="187"/>
    <s v="#FutureOfDriving"/>
    <m/>
    <m/>
    <x v="3"/>
  </r>
  <r>
    <n v="941"/>
    <n v="121"/>
    <n v="458"/>
    <n v="14115"/>
    <n v="13838"/>
    <n v="87"/>
    <s v="#EVRevolution"/>
    <m/>
    <m/>
    <x v="4"/>
  </r>
  <r>
    <n v="1488"/>
    <n v="417"/>
    <n v="168"/>
    <n v="19344"/>
    <n v="18395"/>
    <n v="30"/>
    <s v="#FutureOfDriving"/>
    <m/>
    <m/>
    <x v="2"/>
  </r>
  <r>
    <n v="2164"/>
    <n v="549"/>
    <n v="274"/>
    <n v="28132"/>
    <n v="27361"/>
    <n v="177"/>
    <s v="#TeslaCoInnovation"/>
    <m/>
    <m/>
    <x v="1"/>
  </r>
  <r>
    <n v="3820"/>
    <n v="697"/>
    <n v="268"/>
    <n v="45840"/>
    <n v="45631"/>
    <n v="171"/>
    <s v="#TeslaCoInnovation"/>
    <s v="#SmoothLikeNitroTesla"/>
    <m/>
    <x v="1"/>
  </r>
  <r>
    <n v="3929"/>
    <n v="262"/>
    <n v="278"/>
    <n v="43219"/>
    <n v="42841"/>
    <n v="39"/>
    <s v="#EVRevolution"/>
    <m/>
    <m/>
    <x v="1"/>
  </r>
  <r>
    <n v="1238"/>
    <n v="366"/>
    <n v="444"/>
    <n v="19808"/>
    <n v="19334"/>
    <n v="123"/>
    <s v="#FutureOfDriving"/>
    <m/>
    <m/>
    <x v="0"/>
  </r>
  <r>
    <n v="3000"/>
    <n v="382"/>
    <n v="325"/>
    <n v="36000"/>
    <n v="35819"/>
    <n v="19"/>
    <s v="#FutureOfDriving"/>
    <m/>
    <m/>
    <x v="4"/>
  </r>
  <r>
    <n v="4689"/>
    <n v="134"/>
    <n v="403"/>
    <n v="51579"/>
    <n v="50924"/>
    <n v="173"/>
    <s v="#TeslaCoInnovation"/>
    <m/>
    <m/>
    <x v="1"/>
  </r>
  <r>
    <n v="4182"/>
    <n v="640"/>
    <n v="240"/>
    <n v="50184"/>
    <n v="49351"/>
    <n v="10"/>
    <s v="#TeslaCoInnovation"/>
    <m/>
    <m/>
    <x v="2"/>
  </r>
  <r>
    <n v="1071"/>
    <n v="519"/>
    <n v="22"/>
    <n v="16065"/>
    <n v="15865"/>
    <n v="103"/>
    <s v="#TeslaCoInnovation"/>
    <m/>
    <m/>
    <x v="1"/>
  </r>
  <r>
    <n v="4050"/>
    <n v="871"/>
    <n v="347"/>
    <n v="52650"/>
    <n v="51755"/>
    <n v="209"/>
    <s v="#TeslaCoInnovation"/>
    <m/>
    <m/>
    <x v="3"/>
  </r>
  <r>
    <n v="4158"/>
    <n v="167"/>
    <n v="241"/>
    <n v="45738"/>
    <n v="45183"/>
    <n v="142"/>
    <s v="#FutureOfDriving"/>
    <m/>
    <m/>
    <x v="0"/>
  </r>
  <r>
    <n v="3689"/>
    <n v="48"/>
    <n v="306"/>
    <n v="40579"/>
    <n v="39588"/>
    <n v="212"/>
    <s v="#EVRevolution"/>
    <m/>
    <m/>
    <x v="3"/>
  </r>
  <r>
    <n v="4285"/>
    <n v="886"/>
    <n v="376"/>
    <n v="55705"/>
    <n v="55556"/>
    <n v="51"/>
    <s v="#FutureOfDriving"/>
    <m/>
    <m/>
    <x v="2"/>
  </r>
  <r>
    <n v="4858"/>
    <n v="317"/>
    <n v="129"/>
    <n v="53438"/>
    <n v="52687"/>
    <n v="223"/>
    <s v="#EVRevolution"/>
    <m/>
    <m/>
    <x v="2"/>
  </r>
  <r>
    <n v="4771"/>
    <n v="818"/>
    <n v="56"/>
    <n v="57252"/>
    <n v="56378"/>
    <n v="150"/>
    <s v="#FutureOfDriving"/>
    <m/>
    <m/>
    <x v="0"/>
  </r>
  <r>
    <n v="2358"/>
    <n v="784"/>
    <n v="344"/>
    <n v="35370"/>
    <n v="34475"/>
    <n v="216"/>
    <s v="#TeslaCoInnovation"/>
    <m/>
    <m/>
    <x v="0"/>
  </r>
  <r>
    <n v="1018"/>
    <n v="447"/>
    <n v="332"/>
    <n v="18324"/>
    <n v="18164"/>
    <n v="38"/>
    <s v="#FutureOfDriving"/>
    <m/>
    <m/>
    <x v="3"/>
  </r>
  <r>
    <n v="3641"/>
    <n v="226"/>
    <n v="46"/>
    <n v="40051"/>
    <n v="39319"/>
    <n v="296"/>
    <s v="#EVRevolution"/>
    <m/>
    <m/>
    <x v="1"/>
  </r>
  <r>
    <n v="3592"/>
    <n v="911"/>
    <n v="375"/>
    <n v="50288"/>
    <n v="49490"/>
    <n v="32"/>
    <s v="#FutureOfDriving"/>
    <m/>
    <m/>
    <x v="1"/>
  </r>
  <r>
    <n v="4523"/>
    <n v="61"/>
    <n v="157"/>
    <n v="49753"/>
    <n v="49329"/>
    <n v="71"/>
    <s v="#EVRevolution"/>
    <m/>
    <m/>
    <x v="0"/>
  </r>
  <r>
    <n v="1816"/>
    <n v="29"/>
    <n v="41"/>
    <n v="19976"/>
    <n v="19262"/>
    <n v="283"/>
    <s v="#TeslaCoInnovation"/>
    <m/>
    <m/>
    <x v="2"/>
  </r>
  <r>
    <n v="4441"/>
    <n v="511"/>
    <n v="70"/>
    <n v="53292"/>
    <n v="53082"/>
    <n v="159"/>
    <s v="#EVRevolution"/>
    <m/>
    <m/>
    <x v="1"/>
  </r>
  <r>
    <n v="2746"/>
    <n v="156"/>
    <n v="203"/>
    <n v="32952"/>
    <n v="32147"/>
    <n v="147"/>
    <s v="#EVRevolution"/>
    <m/>
    <m/>
    <x v="4"/>
  </r>
  <r>
    <n v="1292"/>
    <n v="626"/>
    <n v="496"/>
    <n v="25840"/>
    <n v="24916"/>
    <n v="149"/>
    <s v="#FutureOfDriving"/>
    <m/>
    <m/>
    <x v="2"/>
  </r>
  <r>
    <n v="2180"/>
    <n v="263"/>
    <n v="387"/>
    <n v="30520"/>
    <n v="30059"/>
    <n v="174"/>
    <s v="#EVRevolution"/>
    <m/>
    <m/>
    <x v="0"/>
  </r>
  <r>
    <n v="1766"/>
    <n v="92"/>
    <n v="424"/>
    <n v="24724"/>
    <n v="24333"/>
    <n v="52"/>
    <s v="#EVRevolution"/>
    <m/>
    <m/>
    <x v="0"/>
  </r>
  <r>
    <n v="1226"/>
    <n v="119"/>
    <n v="7"/>
    <n v="14712"/>
    <n v="14049"/>
    <n v="123"/>
    <s v="#EVRevolution"/>
    <m/>
    <m/>
    <x v="1"/>
  </r>
  <r>
    <n v="3099"/>
    <n v="694"/>
    <n v="171"/>
    <n v="43386"/>
    <n v="42921"/>
    <n v="52"/>
    <s v="#TeslaCoInnovation"/>
    <m/>
    <m/>
    <x v="2"/>
  </r>
  <r>
    <n v="1082"/>
    <n v="209"/>
    <n v="484"/>
    <n v="19476"/>
    <n v="18654"/>
    <n v="20"/>
    <s v="#TeslaCoInnovation"/>
    <m/>
    <m/>
    <x v="0"/>
  </r>
  <r>
    <n v="1461"/>
    <n v="184"/>
    <n v="344"/>
    <n v="21915"/>
    <n v="21675"/>
    <n v="15"/>
    <s v="#FutureOfDriving"/>
    <s v="#AnytimeIsTeslaTime"/>
    <m/>
    <x v="4"/>
  </r>
  <r>
    <n v="802"/>
    <n v="262"/>
    <n v="244"/>
    <n v="14436"/>
    <n v="14280"/>
    <n v="49"/>
    <s v="#EVRevolution"/>
    <m/>
    <m/>
    <x v="4"/>
  </r>
  <r>
    <n v="3711"/>
    <n v="352"/>
    <n v="290"/>
    <n v="48243"/>
    <n v="47579"/>
    <n v="11"/>
    <s v="#TeslaCoInnovation"/>
    <m/>
    <m/>
    <x v="4"/>
  </r>
  <r>
    <n v="3009"/>
    <n v="413"/>
    <n v="358"/>
    <n v="42126"/>
    <n v="41309"/>
    <n v="211"/>
    <s v="#FutureOfDriving"/>
    <m/>
    <m/>
    <x v="3"/>
  </r>
  <r>
    <n v="2936"/>
    <n v="439"/>
    <n v="44"/>
    <n v="38168"/>
    <n v="37571"/>
    <n v="22"/>
    <s v="#EVRevolution"/>
    <m/>
    <m/>
    <x v="1"/>
  </r>
  <r>
    <n v="3068"/>
    <n v="137"/>
    <n v="329"/>
    <n v="39884"/>
    <n v="39404"/>
    <n v="266"/>
    <s v="#EVRevolution"/>
    <m/>
    <m/>
    <x v="3"/>
  </r>
  <r>
    <n v="296"/>
    <n v="60"/>
    <n v="141"/>
    <n v="5624"/>
    <n v="5239"/>
    <n v="88"/>
    <s v="#EVRevolution"/>
    <m/>
    <m/>
    <x v="3"/>
  </r>
  <r>
    <n v="3784"/>
    <n v="808"/>
    <n v="404"/>
    <n v="56760"/>
    <n v="56343"/>
    <n v="131"/>
    <s v="#TeslaCoInnovation"/>
    <m/>
    <m/>
    <x v="3"/>
  </r>
  <r>
    <n v="4332"/>
    <n v="771"/>
    <n v="219"/>
    <n v="60648"/>
    <n v="60397"/>
    <n v="10"/>
    <s v="#TeslaCoInnovation"/>
    <s v="#EVRevolution"/>
    <s v="#BetterWithTesla"/>
    <x v="2"/>
  </r>
  <r>
    <n v="827"/>
    <n v="77"/>
    <n v="402"/>
    <n v="14886"/>
    <n v="14129"/>
    <n v="254"/>
    <s v="#EVRevolution"/>
    <m/>
    <m/>
    <x v="3"/>
  </r>
  <r>
    <n v="4739"/>
    <n v="527"/>
    <n v="135"/>
    <n v="61607"/>
    <n v="61333"/>
    <n v="36"/>
    <s v="#TeslaCoInnovation"/>
    <s v="#AnytimeIsTeslaTime"/>
    <m/>
    <x v="3"/>
  </r>
  <r>
    <n v="3791"/>
    <n v="593"/>
    <n v="228"/>
    <n v="53074"/>
    <n v="52613"/>
    <n v="205"/>
    <s v="#EVRevolution"/>
    <m/>
    <m/>
    <x v="0"/>
  </r>
  <r>
    <n v="1841"/>
    <n v="851"/>
    <n v="342"/>
    <n v="34979"/>
    <n v="34154"/>
    <n v="255"/>
    <s v="#FutureOfDriving"/>
    <m/>
    <m/>
    <x v="1"/>
  </r>
  <r>
    <n v="3430"/>
    <n v="566"/>
    <n v="164"/>
    <n v="48020"/>
    <n v="47305"/>
    <n v="120"/>
    <s v="#FutureOfDriving"/>
    <m/>
    <m/>
    <x v="0"/>
  </r>
  <r>
    <n v="2949"/>
    <n v="476"/>
    <n v="403"/>
    <n v="44235"/>
    <n v="43705"/>
    <n v="135"/>
    <s v="#TeslaCoInnovation"/>
    <m/>
    <m/>
    <x v="3"/>
  </r>
  <r>
    <n v="929"/>
    <n v="192"/>
    <n v="322"/>
    <n v="16722"/>
    <n v="15996"/>
    <n v="145"/>
    <s v="#EVRevolution"/>
    <s v="#TeslaCoInnovation"/>
    <s v="#AnytimeIsTeslaTime"/>
    <x v="2"/>
  </r>
  <r>
    <n v="1430"/>
    <n v="376"/>
    <n v="33"/>
    <n v="21450"/>
    <n v="20509"/>
    <n v="251"/>
    <s v="#FutureOfDriving"/>
    <m/>
    <m/>
    <x v="4"/>
  </r>
  <r>
    <n v="4619"/>
    <n v="821"/>
    <n v="499"/>
    <n v="69285"/>
    <n v="69141"/>
    <n v="298"/>
    <s v="#TeslaCoInnovation"/>
    <m/>
    <m/>
    <x v="1"/>
  </r>
  <r>
    <n v="725"/>
    <n v="88"/>
    <n v="428"/>
    <n v="14500"/>
    <n v="13637"/>
    <n v="200"/>
    <s v="#FutureOfDriving"/>
    <s v="#TeslaCoInnovation"/>
    <s v="#AnytimeIsTeslaTime"/>
    <x v="2"/>
  </r>
  <r>
    <n v="2509"/>
    <n v="324"/>
    <n v="171"/>
    <n v="35126"/>
    <n v="34685"/>
    <n v="277"/>
    <s v="#TeslaCoInnovation"/>
    <m/>
    <m/>
    <x v="3"/>
  </r>
  <r>
    <n v="2728"/>
    <n v="533"/>
    <n v="215"/>
    <n v="40920"/>
    <n v="40816"/>
    <n v="137"/>
    <s v="#FutureOfDriving"/>
    <m/>
    <m/>
    <x v="3"/>
  </r>
  <r>
    <n v="4292"/>
    <n v="51"/>
    <n v="392"/>
    <n v="55796"/>
    <n v="54826"/>
    <n v="264"/>
    <s v="#EVRevolution"/>
    <m/>
    <m/>
    <x v="2"/>
  </r>
  <r>
    <n v="4350"/>
    <n v="771"/>
    <n v="7"/>
    <n v="60900"/>
    <n v="60592"/>
    <n v="195"/>
    <s v="#EVRevolution"/>
    <m/>
    <m/>
    <x v="4"/>
  </r>
  <r>
    <n v="4579"/>
    <n v="125"/>
    <n v="300"/>
    <n v="59527"/>
    <n v="59400"/>
    <n v="269"/>
    <s v="#EVRevolution"/>
    <m/>
    <m/>
    <x v="4"/>
  </r>
  <r>
    <n v="2107"/>
    <n v="550"/>
    <n v="349"/>
    <n v="35819"/>
    <n v="35340"/>
    <n v="191"/>
    <s v="#EVRevolution"/>
    <m/>
    <m/>
    <x v="1"/>
  </r>
  <r>
    <n v="1644"/>
    <n v="546"/>
    <n v="150"/>
    <n v="27948"/>
    <n v="27184"/>
    <n v="300"/>
    <s v="#EVRevolution"/>
    <m/>
    <m/>
    <x v="2"/>
  </r>
  <r>
    <n v="4494"/>
    <n v="717"/>
    <n v="45"/>
    <n v="62916"/>
    <n v="62688"/>
    <n v="191"/>
    <s v="#TeslaCoInnovation"/>
    <s v="#EVRevolution"/>
    <s v="#BetterWithTesla"/>
    <x v="4"/>
  </r>
  <r>
    <n v="4275"/>
    <n v="680"/>
    <n v="385"/>
    <n v="64125"/>
    <n v="63650"/>
    <n v="104"/>
    <s v="#EVRevolution"/>
    <s v="#TeslaCoInnovation"/>
    <s v="#AnytimeIsTeslaTime"/>
    <x v="1"/>
  </r>
  <r>
    <n v="4853"/>
    <n v="837"/>
    <n v="340"/>
    <n v="72795"/>
    <n v="72237"/>
    <n v="170"/>
    <s v="#EVRevolution"/>
    <m/>
    <m/>
    <x v="4"/>
  </r>
  <r>
    <n v="3160"/>
    <n v="204"/>
    <n v="297"/>
    <n v="44240"/>
    <n v="43666"/>
    <n v="49"/>
    <s v="#FutureOfDriving"/>
    <s v="#AnytimeIsTeslaTime"/>
    <m/>
    <x v="1"/>
  </r>
  <r>
    <n v="2696"/>
    <n v="628"/>
    <n v="443"/>
    <n v="45832"/>
    <n v="45632"/>
    <n v="248"/>
    <s v="#EVRevolution"/>
    <m/>
    <m/>
    <x v="1"/>
  </r>
  <r>
    <n v="1871"/>
    <n v="252"/>
    <n v="335"/>
    <n v="29936"/>
    <n v="29576"/>
    <n v="288"/>
    <s v="#EVRevolution"/>
    <m/>
    <m/>
    <x v="2"/>
  </r>
  <r>
    <n v="954"/>
    <n v="324"/>
    <n v="288"/>
    <n v="19080"/>
    <n v="18859"/>
    <n v="21"/>
    <s v="#FutureOfDriving"/>
    <m/>
    <m/>
    <x v="1"/>
  </r>
  <r>
    <n v="2878"/>
    <n v="248"/>
    <n v="416"/>
    <n v="43170"/>
    <n v="42667"/>
    <n v="75"/>
    <s v="#FutureOfDriving"/>
    <m/>
    <m/>
    <x v="2"/>
  </r>
  <r>
    <n v="4808"/>
    <n v="772"/>
    <n v="320"/>
    <n v="72120"/>
    <n v="71696"/>
    <n v="195"/>
    <s v="#EVRevolution"/>
    <m/>
    <m/>
    <x v="4"/>
  </r>
  <r>
    <n v="1121"/>
    <n v="135"/>
    <n v="18"/>
    <n v="15694"/>
    <n v="14957"/>
    <n v="99"/>
    <s v="#TeslaCoInnovation"/>
    <m/>
    <m/>
    <x v="1"/>
  </r>
  <r>
    <n v="2825"/>
    <n v="535"/>
    <n v="295"/>
    <n v="45200"/>
    <n v="44739"/>
    <n v="169"/>
    <s v="#TeslaCoInnovation"/>
    <m/>
    <m/>
    <x v="4"/>
  </r>
  <r>
    <n v="3432"/>
    <n v="869"/>
    <n v="123"/>
    <n v="54912"/>
    <n v="53916"/>
    <n v="264"/>
    <s v="#EVRevolution"/>
    <m/>
    <m/>
    <x v="3"/>
  </r>
  <r>
    <n v="1570"/>
    <n v="187"/>
    <n v="260"/>
    <n v="25120"/>
    <n v="24613"/>
    <n v="133"/>
    <s v="#TeslaCoInnovation"/>
    <m/>
    <m/>
    <x v="1"/>
  </r>
  <r>
    <n v="4551"/>
    <n v="714"/>
    <n v="207"/>
    <n v="68265"/>
    <n v="67754"/>
    <n v="57"/>
    <s v="#FutureOfDriving"/>
    <m/>
    <m/>
    <x v="2"/>
  </r>
  <r>
    <n v="3090"/>
    <n v="697"/>
    <n v="164"/>
    <n v="49440"/>
    <n v="48524"/>
    <n v="25"/>
    <s v="#EVRevolution"/>
    <s v="#EVRevolution"/>
    <s v="#BetterWithTesla"/>
    <x v="3"/>
  </r>
  <r>
    <n v="1263"/>
    <n v="397"/>
    <n v="357"/>
    <n v="25260"/>
    <n v="24615"/>
    <n v="137"/>
    <s v="#EVRevolution"/>
    <m/>
    <m/>
    <x v="1"/>
  </r>
  <r>
    <n v="3535"/>
    <n v="494"/>
    <n v="152"/>
    <n v="53025"/>
    <n v="52791"/>
    <n v="44"/>
    <s v="#TeslaCoInnovation"/>
    <m/>
    <m/>
    <x v="1"/>
  </r>
  <r>
    <n v="2200"/>
    <n v="504"/>
    <n v="239"/>
    <n v="37400"/>
    <n v="36938"/>
    <n v="225"/>
    <s v="#FutureOfDriving"/>
    <m/>
    <m/>
    <x v="3"/>
  </r>
  <r>
    <n v="2103"/>
    <n v="892"/>
    <n v="103"/>
    <n v="39957"/>
    <n v="39466"/>
    <n v="28"/>
    <s v="#FutureOfDriving"/>
    <m/>
    <m/>
    <x v="0"/>
  </r>
  <r>
    <n v="3663"/>
    <n v="17"/>
    <n v="295"/>
    <n v="51282"/>
    <n v="50567"/>
    <n v="84"/>
    <s v="#EVRevolution"/>
    <m/>
    <m/>
    <x v="2"/>
  </r>
  <r>
    <n v="1702"/>
    <n v="750"/>
    <n v="179"/>
    <n v="34040"/>
    <n v="33174"/>
    <n v="76"/>
    <s v="#EVRevolution"/>
    <m/>
    <m/>
    <x v="4"/>
  </r>
  <r>
    <n v="4838"/>
    <n v="640"/>
    <n v="128"/>
    <n v="72570"/>
    <n v="72396"/>
    <n v="83"/>
    <s v="#FutureOfDriving"/>
    <m/>
    <m/>
    <x v="1"/>
  </r>
  <r>
    <n v="1606"/>
    <n v="547"/>
    <n v="316"/>
    <n v="32120"/>
    <n v="31736"/>
    <n v="225"/>
    <s v="#TeslaCoInnovation"/>
    <s v="#AnytimeIsTeslaTime"/>
    <m/>
    <x v="3"/>
  </r>
  <r>
    <n v="4518"/>
    <n v="285"/>
    <n v="383"/>
    <n v="67770"/>
    <n v="67621"/>
    <n v="31"/>
    <s v="#EVRevolution"/>
    <m/>
    <m/>
    <x v="3"/>
  </r>
  <r>
    <n v="4054"/>
    <n v="389"/>
    <n v="493"/>
    <n v="64864"/>
    <n v="64383"/>
    <n v="117"/>
    <s v="#TeslaCoInnovation"/>
    <s v="#BetterWithTesla"/>
    <m/>
    <x v="3"/>
  </r>
  <r>
    <n v="1272"/>
    <n v="465"/>
    <n v="99"/>
    <n v="24168"/>
    <n v="23719"/>
    <n v="42"/>
    <s v="#TeslaCoInnovation"/>
    <m/>
    <m/>
    <x v="0"/>
  </r>
  <r>
    <n v="1171"/>
    <n v="286"/>
    <n v="231"/>
    <n v="22249"/>
    <n v="21282"/>
    <n v="114"/>
    <s v="#EVRevolution"/>
    <m/>
    <m/>
    <x v="4"/>
  </r>
  <r>
    <n v="3452"/>
    <n v="377"/>
    <n v="360"/>
    <n v="55232"/>
    <n v="55075"/>
    <n v="87"/>
    <s v="#FutureOfDriving"/>
    <m/>
    <m/>
    <x v="2"/>
  </r>
  <r>
    <n v="3796"/>
    <n v="667"/>
    <n v="395"/>
    <n v="64532"/>
    <n v="63550"/>
    <n v="292"/>
    <s v="#TeslaCoInnovation"/>
    <m/>
    <m/>
    <x v="0"/>
  </r>
  <r>
    <n v="3371"/>
    <n v="106"/>
    <n v="327"/>
    <n v="50565"/>
    <n v="49816"/>
    <n v="176"/>
    <s v="#FutureOfDriving"/>
    <m/>
    <m/>
    <x v="4"/>
  </r>
  <r>
    <n v="2418"/>
    <n v="754"/>
    <n v="54"/>
    <n v="43524"/>
    <n v="42743"/>
    <n v="182"/>
    <s v="#EVRevolution"/>
    <m/>
    <m/>
    <x v="4"/>
  </r>
  <r>
    <n v="2719"/>
    <n v="17"/>
    <n v="285"/>
    <n v="40785"/>
    <n v="40281"/>
    <n v="40"/>
    <s v="#TeslaCoInnovation"/>
    <m/>
    <m/>
    <x v="3"/>
  </r>
  <r>
    <n v="4450"/>
    <n v="983"/>
    <n v="143"/>
    <n v="75650"/>
    <n v="75008"/>
    <n v="12"/>
    <s v="#FutureOfDriving"/>
    <m/>
    <m/>
    <x v="2"/>
  </r>
  <r>
    <n v="1950"/>
    <n v="295"/>
    <n v="478"/>
    <n v="37050"/>
    <n v="36272"/>
    <n v="119"/>
    <s v="#TeslaCoInnovation"/>
    <m/>
    <m/>
    <x v="0"/>
  </r>
  <r>
    <n v="3813"/>
    <n v="935"/>
    <n v="274"/>
    <n v="68634"/>
    <n v="68488"/>
    <n v="251"/>
    <s v="#FutureOfDriving"/>
    <m/>
    <m/>
    <x v="0"/>
  </r>
  <r>
    <n v="2751"/>
    <n v="33"/>
    <n v="430"/>
    <n v="44016"/>
    <n v="43415"/>
    <n v="129"/>
    <s v="#FutureOfDriving"/>
    <m/>
    <m/>
    <x v="0"/>
  </r>
  <r>
    <n v="2382"/>
    <n v="265"/>
    <n v="134"/>
    <n v="38112"/>
    <n v="37437"/>
    <n v="249"/>
    <s v="#FutureOfDriving"/>
    <m/>
    <m/>
    <x v="1"/>
  </r>
  <r>
    <n v="3073"/>
    <n v="553"/>
    <n v="174"/>
    <n v="52241"/>
    <n v="51605"/>
    <n v="246"/>
    <s v="#EVRevolution"/>
    <m/>
    <m/>
    <x v="2"/>
  </r>
  <r>
    <n v="4725"/>
    <n v="400"/>
    <n v="362"/>
    <n v="75600"/>
    <n v="74927"/>
    <n v="43"/>
    <s v="#FutureOfDriving"/>
    <m/>
    <m/>
    <x v="1"/>
  </r>
  <r>
    <n v="3360"/>
    <n v="525"/>
    <n v="500"/>
    <n v="60480"/>
    <n v="59610"/>
    <n v="192"/>
    <s v="#TeslaCoInnovation"/>
    <m/>
    <m/>
    <x v="4"/>
  </r>
  <r>
    <n v="3564"/>
    <n v="629"/>
    <n v="177"/>
    <n v="60588"/>
    <n v="59627"/>
    <n v="92"/>
    <s v="#TeslaCoInnovation"/>
    <m/>
    <m/>
    <x v="0"/>
  </r>
  <r>
    <n v="4872"/>
    <n v="925"/>
    <n v="176"/>
    <n v="82824"/>
    <n v="82543"/>
    <n v="89"/>
    <s v="#EVRevolution"/>
    <m/>
    <m/>
    <x v="3"/>
  </r>
  <r>
    <n v="3961"/>
    <n v="761"/>
    <n v="131"/>
    <n v="67337"/>
    <n v="66615"/>
    <n v="161"/>
    <s v="#FutureOfDriving"/>
    <m/>
    <m/>
    <x v="2"/>
  </r>
  <r>
    <n v="4171"/>
    <n v="548"/>
    <n v="86"/>
    <n v="66736"/>
    <n v="66634"/>
    <n v="173"/>
    <s v="#FutureOfDriving"/>
    <m/>
    <m/>
    <x v="2"/>
  </r>
  <r>
    <n v="4241"/>
    <n v="902"/>
    <n v="47"/>
    <n v="72097"/>
    <n v="71598"/>
    <n v="167"/>
    <s v="#TeslaCoInnovation"/>
    <m/>
    <m/>
    <x v="3"/>
  </r>
  <r>
    <n v="4663"/>
    <n v="145"/>
    <n v="225"/>
    <n v="69945"/>
    <n v="69596"/>
    <n v="35"/>
    <s v="#EVRevolution"/>
    <m/>
    <m/>
    <x v="1"/>
  </r>
  <r>
    <n v="2072"/>
    <n v="532"/>
    <n v="71"/>
    <n v="37296"/>
    <n v="36467"/>
    <n v="25"/>
    <s v="#TeslaCoInnovation"/>
    <m/>
    <m/>
    <x v="1"/>
  </r>
  <r>
    <n v="2076"/>
    <n v="195"/>
    <n v="104"/>
    <n v="33216"/>
    <n v="32244"/>
    <n v="51"/>
    <s v="#FutureOfDriving"/>
    <m/>
    <m/>
    <x v="1"/>
  </r>
  <r>
    <n v="3731"/>
    <n v="115"/>
    <n v="135"/>
    <n v="55965"/>
    <n v="55436"/>
    <n v="103"/>
    <s v="#TeslaCoInnovation"/>
    <m/>
    <m/>
    <x v="4"/>
  </r>
  <r>
    <n v="3861"/>
    <n v="960"/>
    <n v="101"/>
    <n v="69498"/>
    <n v="68817"/>
    <n v="297"/>
    <s v="#TeslaCoInnovation"/>
    <m/>
    <m/>
    <x v="1"/>
  </r>
  <r>
    <n v="1652"/>
    <n v="89"/>
    <n v="357"/>
    <n v="29736"/>
    <n v="28771"/>
    <n v="215"/>
    <s v="#TeslaCoInnovation"/>
    <m/>
    <m/>
    <x v="2"/>
  </r>
  <r>
    <n v="3860"/>
    <n v="201"/>
    <n v="279"/>
    <n v="61760"/>
    <n v="61660"/>
    <n v="235"/>
    <s v="#TeslaCoInnovation"/>
    <m/>
    <m/>
    <x v="3"/>
  </r>
  <r>
    <n v="2070"/>
    <n v="275"/>
    <n v="386"/>
    <n v="39330"/>
    <n v="38627"/>
    <n v="114"/>
    <s v="#FutureOfDriving"/>
    <m/>
    <m/>
    <x v="1"/>
  </r>
  <r>
    <n v="3452"/>
    <n v="652"/>
    <n v="442"/>
    <n v="65588"/>
    <n v="65049"/>
    <n v="158"/>
    <s v="#FutureOfDriving"/>
    <m/>
    <m/>
    <x v="2"/>
  </r>
  <r>
    <n v="3577"/>
    <n v="596"/>
    <n v="493"/>
    <n v="67963"/>
    <n v="67839"/>
    <n v="53"/>
    <s v="#TeslaCoInnovation"/>
    <m/>
    <m/>
    <x v="2"/>
  </r>
  <r>
    <n v="3182"/>
    <n v="559"/>
    <n v="160"/>
    <n v="57276"/>
    <n v="56890"/>
    <n v="163"/>
    <s v="#FutureOfDriving"/>
    <m/>
    <m/>
    <x v="1"/>
  </r>
  <r>
    <n v="4780"/>
    <n v="691"/>
    <n v="380"/>
    <n v="86040"/>
    <n v="85743"/>
    <n v="262"/>
    <s v="#FutureOfDriving"/>
    <m/>
    <m/>
    <x v="2"/>
  </r>
  <r>
    <n v="3770"/>
    <n v="917"/>
    <n v="129"/>
    <n v="71630"/>
    <n v="71322"/>
    <n v="76"/>
    <s v="#FutureOfDriving"/>
    <m/>
    <m/>
    <x v="4"/>
  </r>
  <r>
    <n v="3774"/>
    <n v="239"/>
    <n v="39"/>
    <n v="60384"/>
    <n v="59490"/>
    <n v="241"/>
    <s v="#TeslaCoInnovation"/>
    <m/>
    <m/>
    <x v="2"/>
  </r>
  <r>
    <n v="3557"/>
    <n v="687"/>
    <n v="424"/>
    <n v="71140"/>
    <n v="70701"/>
    <n v="224"/>
    <s v="#EVRevolution"/>
    <s v="#TeslaCoInnovation"/>
    <m/>
    <x v="4"/>
  </r>
  <r>
    <n v="3428"/>
    <n v="305"/>
    <n v="85"/>
    <n v="58276"/>
    <n v="58052"/>
    <n v="242"/>
    <s v="#EVRevolution"/>
    <s v="#BetterWithTesla"/>
    <m/>
    <x v="1"/>
  </r>
  <r>
    <n v="4929"/>
    <n v="749"/>
    <n v="452"/>
    <n v="93651"/>
    <n v="92810"/>
    <n v="66"/>
    <s v="#EVRevolution"/>
    <m/>
    <m/>
    <x v="1"/>
  </r>
  <r>
    <n v="4782"/>
    <n v="721"/>
    <n v="82"/>
    <n v="86076"/>
    <n v="85339"/>
    <n v="19"/>
    <s v="#EVRevolution"/>
    <m/>
    <m/>
    <x v="4"/>
  </r>
  <r>
    <n v="4213"/>
    <n v="253"/>
    <n v="434"/>
    <n v="75834"/>
    <n v="75437"/>
    <n v="272"/>
    <s v="#FutureOfDriving"/>
    <m/>
    <m/>
    <x v="1"/>
  </r>
  <r>
    <n v="4126"/>
    <n v="426"/>
    <n v="486"/>
    <n v="78394"/>
    <n v="77798"/>
    <n v="88"/>
    <s v="#FutureOfDriving"/>
    <m/>
    <m/>
    <x v="1"/>
  </r>
  <r>
    <n v="4187"/>
    <n v="66"/>
    <n v="31"/>
    <n v="66992"/>
    <n v="66614"/>
    <n v="62"/>
    <s v="#FutureOfDriving"/>
    <m/>
    <m/>
    <x v="0"/>
  </r>
  <r>
    <n v="4054"/>
    <n v="488"/>
    <n v="373"/>
    <n v="77026"/>
    <n v="76881"/>
    <n v="25"/>
    <s v="#TeslaCoInnovation"/>
    <m/>
    <m/>
    <x v="4"/>
  </r>
  <r>
    <n v="4712"/>
    <n v="568"/>
    <n v="127"/>
    <n v="84816"/>
    <n v="84691"/>
    <n v="100"/>
    <s v="#EVRevolution"/>
    <m/>
    <m/>
    <x v="2"/>
  </r>
  <r>
    <n v="4295"/>
    <n v="853"/>
    <n v="325"/>
    <n v="85900"/>
    <n v="85788"/>
    <n v="290"/>
    <s v="#TeslaCoInnovation"/>
    <m/>
    <m/>
    <x v="1"/>
  </r>
  <r>
    <n v="3166"/>
    <n v="90"/>
    <n v="341"/>
    <n v="56988"/>
    <n v="56125"/>
    <n v="135"/>
    <s v="#EVRevolution"/>
    <m/>
    <m/>
    <x v="3"/>
  </r>
  <r>
    <n v="4606"/>
    <n v="931"/>
    <n v="230"/>
    <n v="92120"/>
    <n v="91440"/>
    <n v="56"/>
    <s v="#TeslaCoInnovation"/>
    <m/>
    <m/>
    <x v="0"/>
  </r>
  <r>
    <n v="3718"/>
    <n v="385"/>
    <n v="310"/>
    <n v="70642"/>
    <n v="69749"/>
    <n v="233"/>
    <s v="#TeslaCoInnovation"/>
    <m/>
    <m/>
    <x v="3"/>
  </r>
  <r>
    <n v="4832"/>
    <n v="893"/>
    <n v="10"/>
    <n v="91808"/>
    <n v="91296"/>
    <n v="182"/>
    <s v="#TeslaCoInnovation"/>
    <m/>
    <m/>
    <x v="0"/>
  </r>
  <r>
    <n v="2493"/>
    <n v="97"/>
    <n v="44"/>
    <n v="42381"/>
    <n v="41991"/>
    <n v="242"/>
    <s v="#TeslaCoInnovation"/>
    <s v="#AnytimeIsTeslaTime"/>
    <m/>
    <x v="1"/>
  </r>
  <r>
    <n v="3338"/>
    <n v="277"/>
    <n v="118"/>
    <n v="60084"/>
    <n v="59842"/>
    <n v="252"/>
    <s v="#TeslaCoInnovation"/>
    <m/>
    <m/>
    <x v="0"/>
  </r>
  <r>
    <n v="4905"/>
    <n v="845"/>
    <n v="129"/>
    <n v="98100"/>
    <n v="97772"/>
    <n v="279"/>
    <s v="#TeslaCoInnovation"/>
    <m/>
    <m/>
    <x v="3"/>
  </r>
  <r>
    <n v="3128"/>
    <n v="211"/>
    <n v="197"/>
    <n v="59432"/>
    <n v="59182"/>
    <n v="238"/>
    <s v="#EVRevolution"/>
    <m/>
    <m/>
    <x v="0"/>
  </r>
  <r>
    <n v="3888"/>
    <n v="604"/>
    <n v="128"/>
    <n v="77760"/>
    <n v="77167"/>
    <n v="20"/>
    <s v="#FutureOfDriving"/>
    <m/>
    <m/>
    <x v="4"/>
  </r>
  <r>
    <n v="3440"/>
    <n v="13"/>
    <n v="20"/>
    <n v="58480"/>
    <n v="58146"/>
    <n v="210"/>
    <s v="#TeslaCoInnovation"/>
    <s v="#SmoothLikeNitroTesla"/>
    <m/>
    <x v="1"/>
  </r>
  <r>
    <n v="4303"/>
    <n v="451"/>
    <n v="286"/>
    <n v="86060"/>
    <n v="85823"/>
    <n v="14"/>
    <s v="#TeslaCoInnovation"/>
    <m/>
    <m/>
    <x v="2"/>
  </r>
  <r>
    <n v="1509"/>
    <n v="88"/>
    <n v="163"/>
    <n v="30180"/>
    <n v="29689"/>
    <n v="119"/>
    <s v="#EVRevolution"/>
    <m/>
    <m/>
    <x v="3"/>
  </r>
  <r>
    <n v="3367"/>
    <n v="302"/>
    <n v="57"/>
    <n v="63973"/>
    <n v="63789"/>
    <n v="157"/>
    <s v="#FutureOfDriving"/>
    <m/>
    <m/>
    <x v="3"/>
  </r>
  <r>
    <n v="2143"/>
    <n v="12"/>
    <n v="204"/>
    <n v="40717"/>
    <n v="40125"/>
    <n v="248"/>
    <s v="#EVRevolution"/>
    <m/>
    <m/>
    <x v="3"/>
  </r>
  <r>
    <n v="3095"/>
    <n v="39"/>
    <n v="78"/>
    <n v="55710"/>
    <n v="54808"/>
    <n v="93"/>
    <s v="#EVRevolution"/>
    <m/>
    <m/>
    <x v="0"/>
  </r>
  <r>
    <n v="3773"/>
    <n v="299"/>
    <n v="38"/>
    <n v="71687"/>
    <n v="71447"/>
    <n v="286"/>
    <s v="#FutureOfDriving"/>
    <m/>
    <m/>
    <x v="4"/>
  </r>
  <r>
    <n v="4672"/>
    <n v="325"/>
    <n v="32"/>
    <n v="88768"/>
    <n v="87833"/>
    <n v="118"/>
    <s v="#EVRevolution"/>
    <m/>
    <m/>
    <x v="0"/>
  </r>
  <r>
    <n v="1878"/>
    <n v="62"/>
    <n v="179"/>
    <n v="37560"/>
    <n v="36874"/>
    <n v="142"/>
    <s v="#TeslaCoInnovation"/>
    <m/>
    <m/>
    <x v="1"/>
  </r>
  <r>
    <n v="1963"/>
    <n v="213"/>
    <n v="19"/>
    <n v="39260"/>
    <n v="38771"/>
    <n v="145"/>
    <s v="#FutureOfDriving"/>
    <m/>
    <m/>
    <x v="0"/>
  </r>
  <r>
    <n v="2795"/>
    <n v="105"/>
    <n v="49"/>
    <n v="53105"/>
    <n v="52307"/>
    <n v="204"/>
    <s v="#TeslaCoInnovation"/>
    <m/>
    <m/>
    <x v="2"/>
  </r>
  <r>
    <n v="3798"/>
    <n v="31"/>
    <n v="279"/>
    <n v="75960"/>
    <n v="75813"/>
    <n v="266"/>
    <s v="#TeslaCoInnovation"/>
    <m/>
    <m/>
    <x v="4"/>
  </r>
  <r>
    <n v="4507"/>
    <n v="217"/>
    <n v="13"/>
    <n v="90140"/>
    <n v="89591"/>
    <n v="125"/>
    <s v="#FutureOfDriving"/>
    <m/>
    <m/>
    <x v="2"/>
  </r>
  <r>
    <m/>
    <m/>
    <m/>
    <m/>
    <m/>
    <m/>
    <m/>
    <m/>
    <m/>
    <x v="0"/>
  </r>
  <r>
    <m/>
    <m/>
    <m/>
    <m/>
    <m/>
    <m/>
    <m/>
    <m/>
    <m/>
    <x v="0"/>
  </r>
  <r>
    <m/>
    <m/>
    <m/>
    <m/>
    <m/>
    <m/>
    <m/>
    <m/>
    <m/>
    <x v="0"/>
  </r>
  <r>
    <m/>
    <m/>
    <m/>
    <m/>
    <m/>
    <m/>
    <m/>
    <m/>
    <m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000">
  <r>
    <n v="806"/>
    <n v="5904"/>
    <x v="0"/>
  </r>
  <r>
    <n v="498.00000000000006"/>
    <n v="9566"/>
    <x v="1"/>
  </r>
  <r>
    <n v="831"/>
    <n v="26752"/>
    <x v="2"/>
  </r>
  <r>
    <n v="411.00000000000006"/>
    <n v="30671"/>
    <x v="3"/>
  </r>
  <r>
    <n v="905.00000000000011"/>
    <n v="9920"/>
    <x v="0"/>
  </r>
  <r>
    <n v="237"/>
    <n v="7924"/>
    <x v="1"/>
  </r>
  <r>
    <n v="401"/>
    <n v="8912"/>
    <x v="2"/>
  </r>
  <r>
    <n v="316"/>
    <n v="21205"/>
    <x v="3"/>
  </r>
  <r>
    <n v="246"/>
    <n v="11329"/>
    <x v="0"/>
  </r>
  <r>
    <n v="811"/>
    <n v="46670"/>
    <x v="1"/>
  </r>
  <r>
    <n v="819"/>
    <n v="22482"/>
    <x v="2"/>
  </r>
  <r>
    <n v="349"/>
    <n v="24313"/>
    <x v="3"/>
  </r>
  <r>
    <n v="692"/>
    <n v="18050"/>
    <x v="0"/>
  </r>
  <r>
    <n v="911.99999999999989"/>
    <n v="30635"/>
    <x v="1"/>
  </r>
  <r>
    <n v="350"/>
    <n v="31280"/>
    <x v="2"/>
  </r>
  <r>
    <n v="262"/>
    <n v="1783"/>
    <x v="3"/>
  </r>
  <r>
    <n v="936"/>
    <n v="9566"/>
    <x v="0"/>
  </r>
  <r>
    <n v="448.00000000000006"/>
    <n v="42307"/>
    <x v="1"/>
  </r>
  <r>
    <n v="619"/>
    <n v="5914"/>
    <x v="2"/>
  </r>
  <r>
    <n v="872.00000000000011"/>
    <n v="30060"/>
    <x v="3"/>
  </r>
  <r>
    <n v="874"/>
    <n v="22728"/>
    <x v="0"/>
  </r>
  <r>
    <n v="191"/>
    <n v="38610"/>
    <x v="1"/>
  </r>
  <r>
    <n v="466"/>
    <n v="2932"/>
    <x v="2"/>
  </r>
  <r>
    <n v="288"/>
    <n v="15071"/>
    <x v="3"/>
  </r>
  <r>
    <n v="374"/>
    <n v="10740"/>
    <x v="0"/>
  </r>
  <r>
    <n v="644"/>
    <n v="43420"/>
    <x v="1"/>
  </r>
  <r>
    <n v="856"/>
    <n v="32393"/>
    <x v="2"/>
  </r>
  <r>
    <n v="455.99999999999994"/>
    <n v="28474"/>
    <x v="3"/>
  </r>
  <r>
    <n v="788"/>
    <n v="17328"/>
    <x v="0"/>
  </r>
  <r>
    <n v="786"/>
    <n v="26067"/>
    <x v="1"/>
  </r>
  <r>
    <n v="534"/>
    <n v="32763"/>
    <x v="2"/>
  </r>
  <r>
    <n v="552"/>
    <n v="26452"/>
    <x v="3"/>
  </r>
  <r>
    <n v="405"/>
    <n v="15353"/>
    <x v="0"/>
  </r>
  <r>
    <n v="773"/>
    <n v="4839"/>
    <x v="1"/>
  </r>
  <r>
    <n v="436.00000000000006"/>
    <n v="39272"/>
    <x v="2"/>
  </r>
  <r>
    <n v="348"/>
    <n v="16804"/>
    <x v="3"/>
  </r>
  <r>
    <n v="783"/>
    <n v="49303"/>
    <x v="0"/>
  </r>
  <r>
    <n v="611"/>
    <n v="26455"/>
    <x v="1"/>
  </r>
  <r>
    <n v="943"/>
    <n v="12384"/>
    <x v="2"/>
  </r>
  <r>
    <n v="404"/>
    <n v="49372"/>
    <x v="3"/>
  </r>
  <r>
    <n v="623"/>
    <n v="47101"/>
    <x v="0"/>
  </r>
  <r>
    <n v="601"/>
    <n v="37903"/>
    <x v="1"/>
  </r>
  <r>
    <n v="855.00000000000011"/>
    <n v="33258"/>
    <x v="2"/>
  </r>
  <r>
    <n v="542"/>
    <n v="6915"/>
    <x v="3"/>
  </r>
  <r>
    <n v="325"/>
    <n v="35501"/>
    <x v="0"/>
  </r>
  <r>
    <n v="884"/>
    <n v="14203"/>
    <x v="1"/>
  </r>
  <r>
    <n v="724"/>
    <n v="22206"/>
    <x v="2"/>
  </r>
  <r>
    <n v="619"/>
    <n v="10283"/>
    <x v="3"/>
  </r>
  <r>
    <n v="571"/>
    <n v="24913"/>
    <x v="0"/>
  </r>
  <r>
    <n v="903.99999999999989"/>
    <n v="26925"/>
    <x v="1"/>
  </r>
  <r>
    <n v="391"/>
    <n v="9942"/>
    <x v="2"/>
  </r>
  <r>
    <n v="783"/>
    <n v="32929"/>
    <x v="3"/>
  </r>
  <r>
    <n v="716"/>
    <n v="37829"/>
    <x v="0"/>
  </r>
  <r>
    <n v="641"/>
    <n v="24384"/>
    <x v="1"/>
  </r>
  <r>
    <n v="802"/>
    <n v="25797"/>
    <x v="2"/>
  </r>
  <r>
    <n v="386"/>
    <n v="12646"/>
    <x v="3"/>
  </r>
  <r>
    <n v="909"/>
    <n v="26663"/>
    <x v="0"/>
  </r>
  <r>
    <n v="176"/>
    <n v="40478"/>
    <x v="1"/>
  </r>
  <r>
    <n v="924"/>
    <n v="15476"/>
    <x v="2"/>
  </r>
  <r>
    <n v="899"/>
    <n v="10217"/>
    <x v="3"/>
  </r>
  <r>
    <n v="340"/>
    <n v="21939"/>
    <x v="0"/>
  </r>
  <r>
    <n v="919.99999999999989"/>
    <n v="47462"/>
    <x v="1"/>
  </r>
  <r>
    <n v="859"/>
    <n v="30270"/>
    <x v="2"/>
  </r>
  <r>
    <n v="350"/>
    <n v="5442"/>
    <x v="3"/>
  </r>
  <r>
    <n v="236"/>
    <n v="1083"/>
    <x v="0"/>
  </r>
  <r>
    <n v="736"/>
    <n v="11901"/>
    <x v="1"/>
  </r>
  <r>
    <n v="855.00000000000011"/>
    <n v="24018"/>
    <x v="2"/>
  </r>
  <r>
    <n v="813.00000000000011"/>
    <n v="38883"/>
    <x v="3"/>
  </r>
  <r>
    <n v="330"/>
    <n v="30575"/>
    <x v="0"/>
  </r>
  <r>
    <n v="177"/>
    <n v="2315"/>
    <x v="1"/>
  </r>
  <r>
    <n v="209"/>
    <n v="12148"/>
    <x v="2"/>
  </r>
  <r>
    <n v="736"/>
    <n v="36851"/>
    <x v="3"/>
  </r>
  <r>
    <n v="625"/>
    <n v="41215"/>
    <x v="0"/>
  </r>
  <r>
    <n v="175"/>
    <n v="43836"/>
    <x v="1"/>
  </r>
  <r>
    <n v="497"/>
    <n v="4509"/>
    <x v="2"/>
  </r>
  <r>
    <n v="930.00000000000011"/>
    <n v="27822"/>
    <x v="3"/>
  </r>
  <r>
    <n v="890"/>
    <n v="36397"/>
    <x v="0"/>
  </r>
  <r>
    <n v="388"/>
    <n v="7285"/>
    <x v="1"/>
  </r>
  <r>
    <n v="590"/>
    <n v="33174"/>
    <x v="2"/>
  </r>
  <r>
    <n v="153"/>
    <n v="6742"/>
    <x v="3"/>
  </r>
  <r>
    <n v="650"/>
    <n v="32478"/>
    <x v="0"/>
  </r>
  <r>
    <n v="316"/>
    <n v="42824"/>
    <x v="1"/>
  </r>
  <r>
    <n v="825"/>
    <n v="21208"/>
    <x v="2"/>
  </r>
  <r>
    <n v="541"/>
    <n v="44321"/>
    <x v="3"/>
  </r>
  <r>
    <n v="585"/>
    <n v="13116"/>
    <x v="0"/>
  </r>
  <r>
    <n v="446"/>
    <n v="30214"/>
    <x v="1"/>
  </r>
  <r>
    <n v="522"/>
    <n v="15827"/>
    <x v="2"/>
  </r>
  <r>
    <n v="199"/>
    <n v="46643"/>
    <x v="3"/>
  </r>
  <r>
    <n v="685"/>
    <n v="36484"/>
    <x v="0"/>
  </r>
  <r>
    <n v="332"/>
    <n v="4996"/>
    <x v="1"/>
  </r>
  <r>
    <n v="568"/>
    <n v="36095"/>
    <x v="2"/>
  </r>
  <r>
    <n v="608"/>
    <n v="16443"/>
    <x v="3"/>
  </r>
  <r>
    <n v="466"/>
    <n v="47812"/>
    <x v="0"/>
  </r>
  <r>
    <n v="869.99999999999989"/>
    <n v="38452"/>
    <x v="1"/>
  </r>
  <r>
    <n v="246"/>
    <n v="30428"/>
    <x v="2"/>
  </r>
  <r>
    <n v="797"/>
    <n v="9269"/>
    <x v="3"/>
  </r>
  <r>
    <n v="941"/>
    <n v="29533"/>
    <x v="0"/>
  </r>
  <r>
    <n v="268"/>
    <n v="39997"/>
    <x v="1"/>
  </r>
  <r>
    <n v="732"/>
    <n v="5391"/>
    <x v="2"/>
  </r>
  <r>
    <n v="468"/>
    <n v="22373"/>
    <x v="3"/>
  </r>
  <r>
    <n v="517"/>
    <n v="1810"/>
    <x v="0"/>
  </r>
  <r>
    <n v="620"/>
    <n v="28498"/>
    <x v="1"/>
  </r>
  <r>
    <n v="269"/>
    <n v="39530"/>
    <x v="2"/>
  </r>
  <r>
    <n v="890"/>
    <n v="37876"/>
    <x v="3"/>
  </r>
  <r>
    <n v="379"/>
    <n v="36103"/>
    <x v="0"/>
  </r>
  <r>
    <n v="479"/>
    <n v="26103"/>
    <x v="1"/>
  </r>
  <r>
    <n v="637"/>
    <n v="3455"/>
    <x v="2"/>
  </r>
  <r>
    <n v="265"/>
    <n v="40888"/>
    <x v="3"/>
  </r>
  <r>
    <n v="181"/>
    <n v="22724"/>
    <x v="0"/>
  </r>
  <r>
    <n v="747"/>
    <n v="18601"/>
    <x v="1"/>
  </r>
  <r>
    <n v="420"/>
    <n v="20861"/>
    <x v="2"/>
  </r>
  <r>
    <n v="543"/>
    <n v="46625"/>
    <x v="3"/>
  </r>
  <r>
    <n v="332"/>
    <n v="20692"/>
    <x v="0"/>
  </r>
  <r>
    <n v="811"/>
    <n v="18656"/>
    <x v="1"/>
  </r>
  <r>
    <n v="666"/>
    <n v="13316"/>
    <x v="2"/>
  </r>
  <r>
    <n v="809"/>
    <n v="49558"/>
    <x v="3"/>
  </r>
  <r>
    <n v="844"/>
    <n v="4683"/>
    <x v="0"/>
  </r>
  <r>
    <n v="202"/>
    <n v="47502"/>
    <x v="1"/>
  </r>
  <r>
    <n v="774"/>
    <n v="35359"/>
    <x v="2"/>
  </r>
  <r>
    <n v="289"/>
    <n v="14154"/>
    <x v="3"/>
  </r>
  <r>
    <n v="176"/>
    <n v="4313"/>
    <x v="0"/>
  </r>
  <r>
    <n v="309"/>
    <n v="25140"/>
    <x v="1"/>
  </r>
  <r>
    <n v="468"/>
    <n v="9118"/>
    <x v="2"/>
  </r>
  <r>
    <n v="448.00000000000006"/>
    <n v="39931"/>
    <x v="3"/>
  </r>
  <r>
    <n v="530"/>
    <n v="37132"/>
    <x v="0"/>
  </r>
  <r>
    <n v="819.99999999999989"/>
    <n v="17951"/>
    <x v="1"/>
  </r>
  <r>
    <n v="222.00000000000003"/>
    <n v="2798"/>
    <x v="2"/>
  </r>
  <r>
    <n v="833"/>
    <n v="15045"/>
    <x v="3"/>
  </r>
  <r>
    <n v="330"/>
    <n v="14548"/>
    <x v="0"/>
  </r>
  <r>
    <n v="561"/>
    <n v="45708"/>
    <x v="1"/>
  </r>
  <r>
    <n v="256"/>
    <n v="12350"/>
    <x v="2"/>
  </r>
  <r>
    <n v="329"/>
    <n v="40868"/>
    <x v="3"/>
  </r>
  <r>
    <n v="924"/>
    <n v="43122"/>
    <x v="0"/>
  </r>
  <r>
    <n v="451"/>
    <n v="23853"/>
    <x v="1"/>
  </r>
  <r>
    <n v="523"/>
    <n v="45380"/>
    <x v="2"/>
  </r>
  <r>
    <n v="468"/>
    <n v="7705"/>
    <x v="3"/>
  </r>
  <r>
    <n v="923"/>
    <n v="25525"/>
    <x v="0"/>
  </r>
  <r>
    <n v="637"/>
    <n v="20560"/>
    <x v="1"/>
  </r>
  <r>
    <n v="200.99999999999997"/>
    <n v="19119"/>
    <x v="2"/>
  </r>
  <r>
    <n v="372"/>
    <n v="43999"/>
    <x v="3"/>
  </r>
  <r>
    <n v="389"/>
    <n v="10825"/>
    <x v="0"/>
  </r>
  <r>
    <n v="869.99999999999989"/>
    <n v="40323"/>
    <x v="1"/>
  </r>
  <r>
    <n v="695"/>
    <n v="48270"/>
    <x v="2"/>
  </r>
  <r>
    <n v="948"/>
    <n v="18001"/>
    <x v="3"/>
  </r>
  <r>
    <n v="461.00000000000006"/>
    <n v="3314"/>
    <x v="0"/>
  </r>
  <r>
    <n v="802.99999999999989"/>
    <n v="23489"/>
    <x v="1"/>
  </r>
  <r>
    <n v="699"/>
    <n v="42832"/>
    <x v="2"/>
  </r>
  <r>
    <n v="902.99999999999989"/>
    <n v="24494"/>
    <x v="3"/>
  </r>
  <r>
    <n v="286"/>
    <n v="44097"/>
    <x v="0"/>
  </r>
  <r>
    <n v="385"/>
    <n v="31853"/>
    <x v="1"/>
  </r>
  <r>
    <n v="730"/>
    <n v="37636"/>
    <x v="2"/>
  </r>
  <r>
    <n v="908"/>
    <n v="22996"/>
    <x v="3"/>
  </r>
  <r>
    <n v="434"/>
    <n v="49772"/>
    <x v="0"/>
  </r>
  <r>
    <n v="780"/>
    <n v="22713"/>
    <x v="1"/>
  </r>
  <r>
    <n v="385"/>
    <n v="8718"/>
    <x v="2"/>
  </r>
  <r>
    <n v="658"/>
    <n v="39031"/>
    <x v="3"/>
  </r>
  <r>
    <n v="861.99999999999989"/>
    <n v="33799"/>
    <x v="0"/>
  </r>
  <r>
    <n v="455"/>
    <n v="20553"/>
    <x v="1"/>
  </r>
  <r>
    <n v="833"/>
    <n v="10002"/>
    <x v="2"/>
  </r>
  <r>
    <n v="940"/>
    <n v="30987"/>
    <x v="3"/>
  </r>
  <r>
    <n v="723"/>
    <n v="6296"/>
    <x v="0"/>
  </r>
  <r>
    <n v="939"/>
    <n v="21539"/>
    <x v="1"/>
  </r>
  <r>
    <n v="512"/>
    <n v="14722"/>
    <x v="2"/>
  </r>
  <r>
    <n v="611"/>
    <n v="11383"/>
    <x v="3"/>
  </r>
  <r>
    <n v="774"/>
    <n v="9480"/>
    <x v="0"/>
  </r>
  <r>
    <n v="494.00000000000006"/>
    <n v="29116"/>
    <x v="1"/>
  </r>
  <r>
    <n v="180"/>
    <n v="14068"/>
    <x v="2"/>
  </r>
  <r>
    <n v="864"/>
    <n v="35801"/>
    <x v="3"/>
  </r>
  <r>
    <n v="153"/>
    <n v="49077"/>
    <x v="0"/>
  </r>
  <r>
    <n v="852"/>
    <n v="21453"/>
    <x v="1"/>
  </r>
  <r>
    <n v="553"/>
    <n v="21061"/>
    <x v="2"/>
  </r>
  <r>
    <n v="187"/>
    <n v="20059"/>
    <x v="3"/>
  </r>
  <r>
    <n v="627"/>
    <n v="23140"/>
    <x v="0"/>
  </r>
  <r>
    <n v="946.00000000000011"/>
    <n v="23461"/>
    <x v="1"/>
  </r>
  <r>
    <n v="750"/>
    <n v="11805"/>
    <x v="2"/>
  </r>
  <r>
    <n v="473.00000000000006"/>
    <n v="15969"/>
    <x v="3"/>
  </r>
  <r>
    <n v="319"/>
    <n v="2436"/>
    <x v="0"/>
  </r>
  <r>
    <n v="249.00000000000003"/>
    <n v="47603"/>
    <x v="1"/>
  </r>
  <r>
    <n v="450"/>
    <n v="42964"/>
    <x v="2"/>
  </r>
  <r>
    <n v="649"/>
    <n v="39923"/>
    <x v="3"/>
  </r>
  <r>
    <n v="673"/>
    <n v="2293"/>
    <x v="0"/>
  </r>
  <r>
    <n v="483"/>
    <n v="25920"/>
    <x v="1"/>
  </r>
  <r>
    <n v="530"/>
    <n v="11035"/>
    <x v="2"/>
  </r>
  <r>
    <n v="654"/>
    <n v="20733"/>
    <x v="3"/>
  </r>
  <r>
    <n v="680"/>
    <n v="18693"/>
    <x v="0"/>
  </r>
  <r>
    <n v="260"/>
    <n v="7875"/>
    <x v="1"/>
  </r>
  <r>
    <n v="244"/>
    <n v="8471"/>
    <x v="2"/>
  </r>
  <r>
    <n v="309"/>
    <n v="14090"/>
    <x v="3"/>
  </r>
  <r>
    <n v="569"/>
    <n v="14216"/>
    <x v="0"/>
  </r>
  <r>
    <n v="386"/>
    <n v="3582"/>
    <x v="1"/>
  </r>
  <r>
    <n v="316"/>
    <n v="32500"/>
    <x v="2"/>
  </r>
  <r>
    <n v="160"/>
    <n v="6832"/>
    <x v="3"/>
  </r>
  <r>
    <n v="609"/>
    <n v="33381"/>
    <x v="0"/>
  </r>
  <r>
    <n v="559"/>
    <n v="48419"/>
    <x v="1"/>
  </r>
  <r>
    <n v="355"/>
    <n v="16149"/>
    <x v="2"/>
  </r>
  <r>
    <n v="521"/>
    <n v="7541"/>
    <x v="3"/>
  </r>
  <r>
    <n v="182"/>
    <n v="20042"/>
    <x v="0"/>
  </r>
  <r>
    <n v="400"/>
    <n v="49400"/>
    <x v="1"/>
  </r>
  <r>
    <n v="757"/>
    <n v="4007"/>
    <x v="2"/>
  </r>
  <r>
    <n v="681"/>
    <n v="12174"/>
    <x v="3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  <r>
    <m/>
    <m/>
    <x v="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304">
  <r>
    <x v="0"/>
    <s v="Check out our latest story on instagram!"/>
    <n v="84"/>
    <n v="897"/>
    <n v="85"/>
    <n v="588"/>
    <n v="8"/>
    <n v="12"/>
    <s v="#EVRevolution"/>
    <m/>
    <m/>
    <m/>
    <x v="0"/>
  </r>
  <r>
    <x v="1"/>
    <s v="Check out our latest reel on instagram!"/>
    <n v="103"/>
    <n v="770"/>
    <n v="19"/>
    <n v="1030"/>
    <n v="410"/>
    <n v="262"/>
    <s v="#TeslaCoInnovation"/>
    <m/>
    <m/>
    <s v="SustainabilityDrive"/>
    <x v="1"/>
  </r>
  <r>
    <x v="0"/>
    <s v="Check out our latest story on twitter!"/>
    <n v="249"/>
    <n v="592"/>
    <n v="230"/>
    <n v="1494"/>
    <n v="1044"/>
    <n v="201"/>
    <s v="#EVRevolution"/>
    <m/>
    <m/>
    <s v="SustainabilityDrive"/>
    <x v="2"/>
  </r>
  <r>
    <x v="2"/>
    <s v="Check out our latest video on instagram!"/>
    <n v="129"/>
    <n v="643"/>
    <n v="136"/>
    <n v="1290"/>
    <n v="839"/>
    <n v="238"/>
    <s v="#TeslaCoInnovation"/>
    <m/>
    <m/>
    <s v="SustainabilityDrive"/>
    <x v="3"/>
  </r>
  <r>
    <x v="1"/>
    <s v="Check out our latest reel on instagram!"/>
    <n v="142"/>
    <n v="784"/>
    <n v="183"/>
    <n v="1704"/>
    <n v="995"/>
    <n v="154"/>
    <s v="#FutureOfDriving"/>
    <m/>
    <m/>
    <s v="SustainabilityDrive"/>
    <x v="4"/>
  </r>
  <r>
    <x v="3"/>
    <s v="Check out our latest carousel on twitter!"/>
    <n v="53"/>
    <n v="81"/>
    <n v="379"/>
    <n v="954"/>
    <n v="7"/>
    <n v="148"/>
    <s v="#TeslaCoInnovation"/>
    <m/>
    <m/>
    <s v="FSDUpdate"/>
    <x v="5"/>
  </r>
  <r>
    <x v="4"/>
    <s v="Check out our latest image on twitter!"/>
    <n v="59"/>
    <n v="163"/>
    <n v="93"/>
    <n v="590"/>
    <n v="475"/>
    <n v="293"/>
    <s v="#TeslaCoInnovation"/>
    <m/>
    <m/>
    <s v="ModelYCampaign"/>
    <x v="6"/>
  </r>
  <r>
    <x v="3"/>
    <s v="Check out our latest carousel on youtube!"/>
    <n v="80"/>
    <n v="362"/>
    <n v="80"/>
    <n v="1040"/>
    <n v="349"/>
    <n v="117"/>
    <s v="#TeslaCoInnovation"/>
    <m/>
    <m/>
    <s v="FSDUpdate"/>
    <x v="7"/>
  </r>
  <r>
    <x v="4"/>
    <s v="Check out our latest image on youtube!"/>
    <n v="257"/>
    <n v="966"/>
    <n v="398"/>
    <n v="3341"/>
    <n v="2753"/>
    <n v="287"/>
    <s v="#FutureOfDriving"/>
    <m/>
    <m/>
    <s v="CybertruckLaunch"/>
    <x v="8"/>
  </r>
  <r>
    <x v="2"/>
    <s v="Check out our latest video on facebook!"/>
    <n v="199"/>
    <n v="772"/>
    <n v="400"/>
    <n v="3582"/>
    <n v="2988"/>
    <n v="43"/>
    <s v="#TeslaCoInnovation"/>
    <m/>
    <m/>
    <m/>
    <x v="9"/>
  </r>
  <r>
    <x v="4"/>
    <s v="Check out our latest image on instagram!"/>
    <n v="521"/>
    <n v="746"/>
    <n v="315"/>
    <n v="4168"/>
    <n v="3399"/>
    <n v="282"/>
    <s v="#FutureOfDriving"/>
    <m/>
    <m/>
    <s v="ModelYCampaign"/>
    <x v="10"/>
  </r>
  <r>
    <x v="3"/>
    <s v="Check out our latest carousel on youtube!"/>
    <n v="804"/>
    <n v="639"/>
    <n v="43"/>
    <n v="4020"/>
    <n v="3144"/>
    <n v="11"/>
    <s v="#EVRevolution"/>
    <s v="#BetterWithTesla"/>
    <m/>
    <m/>
    <x v="11"/>
  </r>
  <r>
    <x v="1"/>
    <s v="Check out our latest reel on twitter!"/>
    <n v="1000"/>
    <n v="978"/>
    <n v="162"/>
    <n v="6000"/>
    <n v="5221"/>
    <n v="223"/>
    <s v="#EVRevolution"/>
    <m/>
    <m/>
    <s v="ModelYCampaign"/>
    <x v="12"/>
  </r>
  <r>
    <x v="3"/>
    <s v="Check out our latest carousel on youtube!"/>
    <n v="736"/>
    <n v="771"/>
    <n v="225"/>
    <n v="5152"/>
    <n v="4706"/>
    <n v="19"/>
    <s v="#EVRevolution"/>
    <m/>
    <m/>
    <s v="CybertruckLaunch"/>
    <x v="13"/>
  </r>
  <r>
    <x v="0"/>
    <s v="Check out our latest story on instagram!"/>
    <n v="498"/>
    <n v="701"/>
    <n v="412"/>
    <n v="4980"/>
    <n v="4185"/>
    <n v="185"/>
    <s v="#FutureOfDriving"/>
    <m/>
    <m/>
    <m/>
    <x v="14"/>
  </r>
  <r>
    <x v="4"/>
    <s v="Check out our latest image on facebook!"/>
    <n v="602"/>
    <n v="594"/>
    <n v="156"/>
    <n v="4214"/>
    <n v="3363"/>
    <n v="164"/>
    <s v="#TeslaCoInnovation"/>
    <m/>
    <m/>
    <s v="FSDUpdate"/>
    <x v="15"/>
  </r>
  <r>
    <x v="3"/>
    <s v="Check out our latest carousel on instagram!"/>
    <n v="985"/>
    <n v="932"/>
    <n v="287"/>
    <n v="6895"/>
    <n v="6757"/>
    <n v="64"/>
    <s v="#FutureOfDriving"/>
    <m/>
    <m/>
    <s v="SustainabilityDrive"/>
    <x v="16"/>
  </r>
  <r>
    <x v="1"/>
    <s v="Check out our latest reel on instagram!"/>
    <n v="1970"/>
    <n v="675"/>
    <n v="478"/>
    <n v="9850"/>
    <n v="8924"/>
    <n v="117"/>
    <s v="#FutureOfDriving"/>
    <m/>
    <m/>
    <m/>
    <x v="17"/>
  </r>
  <r>
    <x v="1"/>
    <s v="Check out our latest reel on instagram!"/>
    <n v="1164"/>
    <n v="616"/>
    <n v="324"/>
    <n v="6984"/>
    <n v="6636"/>
    <n v="82"/>
    <s v="#EVRevolution"/>
    <m/>
    <m/>
    <s v="CybertruckLaunch"/>
    <x v="18"/>
  </r>
  <r>
    <x v="3"/>
    <s v="Check out our latest carousel on instagram!"/>
    <n v="2234"/>
    <n v="653"/>
    <n v="432"/>
    <n v="11170"/>
    <n v="10569"/>
    <n v="198"/>
    <s v="#FutureOfDriving"/>
    <m/>
    <m/>
    <s v="FSDUpdate"/>
    <x v="19"/>
  </r>
  <r>
    <x v="3"/>
    <s v="Check out our latest carousel on twitter!"/>
    <n v="432"/>
    <n v="171"/>
    <n v="280"/>
    <n v="3024"/>
    <n v="2285"/>
    <n v="184"/>
    <s v="#EVRevolution"/>
    <m/>
    <m/>
    <s v="CybertruckLaunch"/>
    <x v="20"/>
  </r>
  <r>
    <x v="0"/>
    <s v="Check out our latest story on instagram!"/>
    <n v="360"/>
    <n v="590"/>
    <n v="393"/>
    <n v="4680"/>
    <n v="4322"/>
    <n v="208"/>
    <s v="#FutureOfDriving"/>
    <m/>
    <m/>
    <s v="ModelYCampaign"/>
    <x v="21"/>
  </r>
  <r>
    <x v="5"/>
    <s v="Check out our latest text on instagram!"/>
    <n v="438"/>
    <n v="153"/>
    <n v="275"/>
    <n v="3066"/>
    <n v="2701"/>
    <n v="282"/>
    <s v="#TeslaCoInnovation"/>
    <m/>
    <m/>
    <s v="ModelYCampaign"/>
    <x v="22"/>
  </r>
  <r>
    <x v="2"/>
    <s v="Check out our latest video on instagram!"/>
    <n v="1431"/>
    <n v="951"/>
    <n v="26"/>
    <n v="8586"/>
    <n v="8396"/>
    <n v="150"/>
    <s v="#EVRevolution"/>
    <m/>
    <m/>
    <s v="FSDUpdate"/>
    <x v="23"/>
  </r>
  <r>
    <x v="1"/>
    <s v="Check out our latest reel on instagram!"/>
    <n v="2603"/>
    <n v="690"/>
    <n v="205"/>
    <n v="13015"/>
    <n v="12130"/>
    <n v="20"/>
    <s v="#FutureOfDriving"/>
    <m/>
    <m/>
    <s v="ModelYCampaign"/>
    <x v="24"/>
  </r>
  <r>
    <x v="0"/>
    <s v="Check out our latest story on facebook!"/>
    <n v="886"/>
    <n v="126"/>
    <n v="153"/>
    <n v="4430"/>
    <n v="4037"/>
    <n v="212"/>
    <s v="#EVRevolution"/>
    <m/>
    <m/>
    <m/>
    <x v="25"/>
  </r>
  <r>
    <x v="2"/>
    <s v="Check out our latest video on youtube!"/>
    <n v="4661"/>
    <n v="935"/>
    <n v="433"/>
    <n v="23305"/>
    <n v="22583"/>
    <n v="63"/>
    <s v="#FutureOfDriving"/>
    <m/>
    <m/>
    <s v="FSDUpdate"/>
    <x v="26"/>
  </r>
  <r>
    <x v="5"/>
    <s v="Check out our latest text on facebook!"/>
    <n v="562"/>
    <n v="158"/>
    <n v="149"/>
    <n v="3372"/>
    <n v="2940"/>
    <n v="93"/>
    <s v="#TeslaCoInnovation"/>
    <m/>
    <m/>
    <s v="CybertruckLaunch"/>
    <x v="27"/>
  </r>
  <r>
    <x v="1"/>
    <s v="Check out our latest reel on twitter!"/>
    <n v="1188"/>
    <n v="470"/>
    <n v="174"/>
    <n v="7128"/>
    <n v="6145"/>
    <n v="270"/>
    <s v="#TeslaCoInnovation"/>
    <m/>
    <m/>
    <s v="SustainabilityDrive"/>
    <x v="28"/>
  </r>
  <r>
    <x v="3"/>
    <s v="Check out our latest carousel on instagram!"/>
    <n v="1741"/>
    <n v="164"/>
    <n v="318"/>
    <n v="8705"/>
    <n v="8272"/>
    <n v="121"/>
    <s v="#TeslaCoInnovation"/>
    <m/>
    <m/>
    <m/>
    <x v="29"/>
  </r>
  <r>
    <x v="3"/>
    <s v="Check out our latest carousel on twitter!"/>
    <n v="1877"/>
    <n v="745"/>
    <n v="225"/>
    <n v="11262"/>
    <n v="10967"/>
    <n v="41"/>
    <s v="#EVRevolution"/>
    <m/>
    <m/>
    <s v="SustainabilityDrive"/>
    <x v="30"/>
  </r>
  <r>
    <x v="5"/>
    <s v="Check out our latest text on youtube!"/>
    <n v="4188"/>
    <n v="942"/>
    <n v="118"/>
    <n v="20940"/>
    <n v="20471"/>
    <n v="102"/>
    <s v="#FutureOfDriving"/>
    <m/>
    <m/>
    <m/>
    <x v="31"/>
  </r>
  <r>
    <x v="4"/>
    <s v="Check out our latest image on facebook!"/>
    <n v="4236"/>
    <n v="711"/>
    <n v="298"/>
    <n v="21180"/>
    <n v="20516"/>
    <n v="238"/>
    <s v="#FutureOfDriving"/>
    <m/>
    <m/>
    <s v="CybertruckLaunch"/>
    <x v="32"/>
  </r>
  <r>
    <x v="5"/>
    <s v="Check out our latest text on twitter!"/>
    <n v="2166"/>
    <n v="354"/>
    <n v="117"/>
    <n v="10830"/>
    <n v="10245"/>
    <n v="24"/>
    <s v="#EVRevolution"/>
    <m/>
    <m/>
    <s v="SustainabilityDrive"/>
    <x v="33"/>
  </r>
  <r>
    <x v="4"/>
    <s v="Check out our latest image on youtube!"/>
    <n v="606"/>
    <n v="789"/>
    <n v="470"/>
    <n v="7878"/>
    <n v="7389"/>
    <n v="239"/>
    <s v="#EVRevolution"/>
    <m/>
    <m/>
    <s v="FSDUpdate"/>
    <x v="34"/>
  </r>
  <r>
    <x v="4"/>
    <s v="Check out our latest image on facebook!"/>
    <n v="400"/>
    <n v="680"/>
    <n v="434"/>
    <n v="6400"/>
    <n v="5472"/>
    <n v="160"/>
    <s v="#FutureOfDriving"/>
    <m/>
    <m/>
    <s v="ModelYCampaign"/>
    <x v="35"/>
  </r>
  <r>
    <x v="0"/>
    <s v="Check out our latest story on instagram!"/>
    <n v="4363"/>
    <n v="649"/>
    <n v="140"/>
    <n v="21815"/>
    <n v="21481"/>
    <n v="157"/>
    <s v="#EVRevolution"/>
    <m/>
    <m/>
    <s v="CybertruckLaunch"/>
    <x v="36"/>
  </r>
  <r>
    <x v="0"/>
    <s v="Check out our latest story on facebook!"/>
    <n v="780"/>
    <n v="928"/>
    <n v="301"/>
    <n v="8580"/>
    <n v="8081"/>
    <n v="91"/>
    <s v="#EVRevolution"/>
    <m/>
    <m/>
    <s v="FSDUpdate"/>
    <x v="37"/>
  </r>
  <r>
    <x v="4"/>
    <s v="Check out our latest image on twitter!"/>
    <n v="3170"/>
    <n v="857"/>
    <n v="379"/>
    <n v="19020"/>
    <n v="18559"/>
    <n v="240"/>
    <s v="#FutureOfDriving"/>
    <m/>
    <m/>
    <m/>
    <x v="38"/>
  </r>
  <r>
    <x v="4"/>
    <s v="Check out our latest image on instagram!"/>
    <n v="4501"/>
    <n v="375"/>
    <n v="323"/>
    <n v="22505"/>
    <n v="21836"/>
    <n v="132"/>
    <s v="#TeslaCoInnovation"/>
    <m/>
    <m/>
    <s v="ModelYCampaign"/>
    <x v="39"/>
  </r>
  <r>
    <x v="2"/>
    <s v="Check out our latest video on instagram!"/>
    <n v="4561"/>
    <n v="51"/>
    <n v="441"/>
    <n v="22805"/>
    <n v="21890"/>
    <n v="45"/>
    <s v="#TeslaCoInnovation"/>
    <m/>
    <m/>
    <s v="ModelYCampaign"/>
    <x v="40"/>
  </r>
  <r>
    <x v="1"/>
    <s v="Check out our latest reel on youtube!"/>
    <n v="1543"/>
    <n v="820"/>
    <n v="333"/>
    <n v="12344"/>
    <n v="11496"/>
    <n v="241"/>
    <s v="#EVRevolution"/>
    <m/>
    <m/>
    <m/>
    <x v="41"/>
  </r>
  <r>
    <x v="3"/>
    <s v="Check out our latest carousel on instagram!"/>
    <n v="2174"/>
    <n v="658"/>
    <n v="15"/>
    <n v="13044"/>
    <n v="12206"/>
    <n v="137"/>
    <s v="#TeslaCoInnovation"/>
    <m/>
    <m/>
    <s v="FSDUpdate"/>
    <x v="42"/>
  </r>
  <r>
    <x v="0"/>
    <s v="Check out our latest story on facebook!"/>
    <n v="2120"/>
    <n v="158"/>
    <n v="488"/>
    <n v="12720"/>
    <n v="12085"/>
    <n v="17"/>
    <s v="#FutureOfDriving"/>
    <m/>
    <m/>
    <s v="ModelYCampaign"/>
    <x v="43"/>
  </r>
  <r>
    <x v="1"/>
    <s v="Check out our latest reel on youtube!"/>
    <n v="3065"/>
    <n v="772"/>
    <n v="142"/>
    <n v="18390"/>
    <n v="17875"/>
    <n v="200"/>
    <s v="#EVRevolution"/>
    <s v="#AnytimeIsTeslaTime"/>
    <m/>
    <m/>
    <x v="44"/>
  </r>
  <r>
    <x v="3"/>
    <s v="Check out our latest carousel on instagram!"/>
    <n v="2566"/>
    <n v="118"/>
    <n v="37"/>
    <n v="12830"/>
    <n v="12264"/>
    <n v="221"/>
    <s v="#FutureOfDriving"/>
    <m/>
    <m/>
    <s v="FSDUpdate"/>
    <x v="45"/>
  </r>
  <r>
    <x v="2"/>
    <s v="Check out our latest video on facebook!"/>
    <n v="3008"/>
    <n v="94"/>
    <n v="37"/>
    <n v="15040"/>
    <n v="14639"/>
    <n v="277"/>
    <s v="#FutureOfDriving"/>
    <m/>
    <m/>
    <m/>
    <x v="46"/>
  </r>
  <r>
    <x v="2"/>
    <s v="Check out our latest video on twitter!"/>
    <n v="1436"/>
    <n v="765"/>
    <n v="496"/>
    <n v="12924"/>
    <n v="12701"/>
    <n v="197"/>
    <s v="#FutureOfDriving"/>
    <m/>
    <m/>
    <s v="FSDUpdate"/>
    <x v="47"/>
  </r>
  <r>
    <x v="2"/>
    <s v="Check out our latest video on instagram!"/>
    <n v="3575"/>
    <n v="749"/>
    <n v="111"/>
    <n v="21450"/>
    <n v="20785"/>
    <n v="195"/>
    <s v="#EVRevolution"/>
    <m/>
    <m/>
    <s v="ModelYCampaign"/>
    <x v="48"/>
  </r>
  <r>
    <x v="0"/>
    <s v="Check out our latest story on facebook!"/>
    <n v="1249"/>
    <n v="116"/>
    <n v="420"/>
    <n v="8743"/>
    <n v="8538"/>
    <n v="63"/>
    <s v="#TeslaCoInnovation"/>
    <m/>
    <m/>
    <m/>
    <x v="49"/>
  </r>
  <r>
    <x v="5"/>
    <s v="Check out our latest text on instagram!"/>
    <n v="3134"/>
    <n v="888"/>
    <n v="444"/>
    <n v="21938"/>
    <n v="21337"/>
    <n v="130"/>
    <s v="#EVRevolution"/>
    <m/>
    <m/>
    <s v="SustainabilityDrive"/>
    <x v="50"/>
  </r>
  <r>
    <x v="0"/>
    <s v="Check out our latest story on instagram!"/>
    <n v="3601"/>
    <n v="695"/>
    <n v="75"/>
    <n v="21606"/>
    <n v="21454"/>
    <n v="172"/>
    <s v="#EVRevolution"/>
    <m/>
    <m/>
    <s v="ModelYCampaign"/>
    <x v="51"/>
  </r>
  <r>
    <x v="3"/>
    <s v="Check out our latest carousel on twitter!"/>
    <n v="1556"/>
    <n v="195"/>
    <n v="131"/>
    <n v="9336"/>
    <n v="8875"/>
    <n v="137"/>
    <s v="#TeslaCoInnovation"/>
    <m/>
    <m/>
    <s v="ModelYCampaign"/>
    <x v="52"/>
  </r>
  <r>
    <x v="2"/>
    <s v="Check out our latest video on instagram!"/>
    <n v="4133"/>
    <n v="466"/>
    <n v="327"/>
    <n v="24798"/>
    <n v="24620"/>
    <n v="176"/>
    <s v="#EVRevolution"/>
    <m/>
    <m/>
    <s v="SustainabilityDrive"/>
    <x v="53"/>
  </r>
  <r>
    <x v="4"/>
    <s v="Check out our latest image on twitter!"/>
    <n v="1048"/>
    <n v="374"/>
    <n v="450"/>
    <n v="9432"/>
    <n v="8882"/>
    <n v="158"/>
    <s v="#TeslaCoInnovation"/>
    <m/>
    <m/>
    <s v="FSDUpdate"/>
    <x v="54"/>
  </r>
  <r>
    <x v="4"/>
    <s v="Check out our latest image on facebook!"/>
    <n v="4804"/>
    <n v="550"/>
    <n v="270"/>
    <n v="28824"/>
    <n v="28370"/>
    <n v="47"/>
    <s v="#EVRevolution"/>
    <m/>
    <m/>
    <s v="SustainabilityDrive"/>
    <x v="55"/>
  </r>
  <r>
    <x v="2"/>
    <s v="Check out our latest video on youtube!"/>
    <n v="3389"/>
    <n v="344"/>
    <n v="229"/>
    <n v="20334"/>
    <n v="19443"/>
    <n v="228"/>
    <s v="#FutureOfDriving"/>
    <m/>
    <m/>
    <s v="FSDUpdate"/>
    <x v="56"/>
  </r>
  <r>
    <x v="0"/>
    <s v="Check out our latest story on instagram!"/>
    <n v="2610"/>
    <n v="126"/>
    <n v="288"/>
    <n v="15660"/>
    <n v="15145"/>
    <n v="73"/>
    <s v="#EVRevolution"/>
    <m/>
    <m/>
    <m/>
    <x v="57"/>
  </r>
  <r>
    <x v="4"/>
    <s v="Check out our latest image on instagram!"/>
    <n v="4177"/>
    <n v="569"/>
    <n v="55"/>
    <n v="25062"/>
    <n v="24847"/>
    <n v="230"/>
    <s v="#FutureOfDriving"/>
    <m/>
    <m/>
    <s v="CybertruckLaunch"/>
    <x v="58"/>
  </r>
  <r>
    <x v="3"/>
    <s v="Check out our latest carousel on twitter!"/>
    <n v="2278"/>
    <n v="10"/>
    <n v="321"/>
    <n v="13668"/>
    <n v="12676"/>
    <n v="275"/>
    <s v="#EVRevolution"/>
    <m/>
    <m/>
    <s v="CybertruckLaunch"/>
    <x v="59"/>
  </r>
  <r>
    <x v="3"/>
    <s v="Check out our latest carousel on facebook!"/>
    <n v="1869"/>
    <n v="453"/>
    <n v="490"/>
    <n v="14952"/>
    <n v="14309"/>
    <n v="275"/>
    <s v="#TeslaCoInnovation"/>
    <m/>
    <m/>
    <s v="SustainabilityDrive"/>
    <x v="60"/>
  </r>
  <r>
    <x v="3"/>
    <s v="Check out our latest carousel on twitter!"/>
    <n v="2120"/>
    <n v="38"/>
    <n v="212"/>
    <n v="12720"/>
    <n v="12564"/>
    <n v="21"/>
    <s v="#FutureOfDriving"/>
    <m/>
    <m/>
    <s v="SustainabilityDrive"/>
    <x v="61"/>
  </r>
  <r>
    <x v="1"/>
    <s v="Check out our latest reel on facebook!"/>
    <n v="4767"/>
    <n v="190"/>
    <n v="340"/>
    <n v="28602"/>
    <n v="28044"/>
    <n v="210"/>
    <s v="#EVRevolution"/>
    <m/>
    <m/>
    <s v="FSDUpdate"/>
    <x v="62"/>
  </r>
  <r>
    <x v="1"/>
    <s v="Check out our latest reel on instagram!"/>
    <n v="456"/>
    <n v="629"/>
    <n v="428"/>
    <n v="8208"/>
    <n v="7377"/>
    <n v="205"/>
    <s v="#FutureOfDriving"/>
    <m/>
    <m/>
    <s v="SustainabilityDrive"/>
    <x v="63"/>
  </r>
  <r>
    <x v="3"/>
    <s v="Check out our latest carousel on facebook!"/>
    <n v="4731"/>
    <n v="173"/>
    <n v="276"/>
    <n v="28386"/>
    <n v="28185"/>
    <n v="89"/>
    <s v="#EVRevolution"/>
    <m/>
    <m/>
    <s v="FSDUpdate"/>
    <x v="64"/>
  </r>
  <r>
    <x v="3"/>
    <s v="Check out our latest carousel on facebook!"/>
    <n v="2945"/>
    <n v="930"/>
    <n v="355"/>
    <n v="23560"/>
    <n v="23275"/>
    <n v="256"/>
    <s v="#TeslaCoInnovation"/>
    <m/>
    <m/>
    <s v="ModelYCampaign"/>
    <x v="65"/>
  </r>
  <r>
    <x v="2"/>
    <s v="Check out our latest video on twitter!"/>
    <n v="754"/>
    <n v="197"/>
    <n v="257"/>
    <n v="6786"/>
    <n v="6221"/>
    <n v="212"/>
    <s v="#TeslaCoInnovation"/>
    <m/>
    <m/>
    <s v="FSDUpdate"/>
    <x v="66"/>
  </r>
  <r>
    <x v="3"/>
    <s v="Check out our latest carousel on facebook!"/>
    <n v="3024"/>
    <n v="925"/>
    <n v="350"/>
    <n v="24192"/>
    <n v="23518"/>
    <n v="36"/>
    <s v="#EVRevolution"/>
    <m/>
    <m/>
    <s v="ModelYCampaign"/>
    <x v="67"/>
  </r>
  <r>
    <x v="0"/>
    <s v="Check out our latest story on facebook!"/>
    <n v="4321"/>
    <n v="874"/>
    <n v="172"/>
    <n v="30247"/>
    <n v="29254"/>
    <n v="122"/>
    <s v="#TeslaCoInnovation"/>
    <m/>
    <m/>
    <s v="SustainabilityDrive"/>
    <x v="68"/>
  </r>
  <r>
    <x v="0"/>
    <s v="Check out our latest story on twitter!"/>
    <n v="1957"/>
    <n v="877"/>
    <n v="238"/>
    <n v="17613"/>
    <n v="16865"/>
    <n v="297"/>
    <s v="#FutureOfDriving"/>
    <m/>
    <m/>
    <s v="FSDUpdate"/>
    <x v="69"/>
  </r>
  <r>
    <x v="5"/>
    <s v="Check out our latest text on twitter!"/>
    <n v="2147"/>
    <n v="430"/>
    <n v="393"/>
    <n v="17176"/>
    <n v="16483"/>
    <n v="170"/>
    <s v="#TeslaCoInnovation"/>
    <m/>
    <m/>
    <m/>
    <x v="70"/>
  </r>
  <r>
    <x v="2"/>
    <s v="Check out our latest video on instagram!"/>
    <n v="432"/>
    <n v="624"/>
    <n v="123"/>
    <n v="6912"/>
    <n v="6259"/>
    <n v="79"/>
    <s v="#FutureOfDriving"/>
    <m/>
    <m/>
    <s v="SustainabilityDrive"/>
    <x v="71"/>
  </r>
  <r>
    <x v="2"/>
    <s v="Check out our latest video on twitter!"/>
    <n v="1108"/>
    <n v="177"/>
    <n v="212"/>
    <n v="8864"/>
    <n v="8710"/>
    <n v="97"/>
    <s v="#TeslaCoInnovation"/>
    <m/>
    <m/>
    <s v="SustainabilityDrive"/>
    <x v="72"/>
  </r>
  <r>
    <x v="4"/>
    <s v="Check out our latest image on twitter!"/>
    <n v="2214"/>
    <n v="249"/>
    <n v="152"/>
    <n v="15498"/>
    <n v="14800"/>
    <n v="180"/>
    <s v="#EVRevolution"/>
    <m/>
    <m/>
    <m/>
    <x v="73"/>
  </r>
  <r>
    <x v="4"/>
    <s v="Check out our latest image on instagram!"/>
    <n v="2647"/>
    <n v="304"/>
    <n v="170"/>
    <n v="18529"/>
    <n v="17841"/>
    <n v="46"/>
    <s v="#FutureOfDriving"/>
    <m/>
    <m/>
    <s v="FSDUpdate"/>
    <x v="74"/>
  </r>
  <r>
    <x v="1"/>
    <s v="Check out our latest reel on youtube!"/>
    <n v="3704"/>
    <n v="186"/>
    <n v="458"/>
    <n v="25928"/>
    <n v="25081"/>
    <n v="131"/>
    <s v="#TeslaCoInnovation"/>
    <m/>
    <m/>
    <m/>
    <x v="75"/>
  </r>
  <r>
    <x v="1"/>
    <s v="Check out our latest reel on facebook!"/>
    <n v="1741"/>
    <n v="831"/>
    <n v="345"/>
    <n v="17410"/>
    <n v="16844"/>
    <n v="58"/>
    <s v="#EVRevolution"/>
    <m/>
    <m/>
    <s v="FSDUpdate"/>
    <x v="76"/>
  </r>
  <r>
    <x v="0"/>
    <s v="Check out our latest story on twitter!"/>
    <n v="3649"/>
    <n v="215"/>
    <n v="413"/>
    <n v="25543"/>
    <n v="24963"/>
    <n v="167"/>
    <s v="#FutureOfDriving"/>
    <m/>
    <m/>
    <s v="FSDUpdate"/>
    <x v="77"/>
  </r>
  <r>
    <x v="3"/>
    <s v="Check out our latest carousel on twitter!"/>
    <n v="2704"/>
    <n v="752"/>
    <n v="153"/>
    <n v="21632"/>
    <n v="20792"/>
    <n v="127"/>
    <s v="#FutureOfDriving"/>
    <m/>
    <m/>
    <m/>
    <x v="78"/>
  </r>
  <r>
    <x v="4"/>
    <s v="Check out our latest image on twitter!"/>
    <n v="1952"/>
    <n v="344"/>
    <n v="287"/>
    <n v="15616"/>
    <n v="15403"/>
    <n v="235"/>
    <s v="#FutureOfDriving"/>
    <s v="#TeslaCoInnovation"/>
    <s v="#AnytimeIsTeslaTime"/>
    <s v="ModelYCampaign"/>
    <x v="79"/>
  </r>
  <r>
    <x v="3"/>
    <s v="Check out our latest carousel on youtube!"/>
    <n v="1686"/>
    <n v="904"/>
    <n v="472"/>
    <n v="18546"/>
    <n v="18171"/>
    <n v="52"/>
    <s v="#FutureOfDriving"/>
    <m/>
    <m/>
    <s v="ModelYCampaign"/>
    <x v="80"/>
  </r>
  <r>
    <x v="2"/>
    <s v="Check out our latest video on instagram!"/>
    <n v="904"/>
    <n v="973"/>
    <n v="63"/>
    <n v="11752"/>
    <n v="11580"/>
    <n v="84"/>
    <s v="#EVRevolution"/>
    <s v="#TeslaCoInnovation"/>
    <s v="#AnytimeIsTeslaTime"/>
    <s v="FSDUpdate"/>
    <x v="81"/>
  </r>
  <r>
    <x v="2"/>
    <s v="Check out our latest video on youtube!"/>
    <n v="1094"/>
    <n v="472"/>
    <n v="21"/>
    <n v="9846"/>
    <n v="9609"/>
    <n v="112"/>
    <s v="#EVRevolution"/>
    <m/>
    <m/>
    <m/>
    <x v="82"/>
  </r>
  <r>
    <x v="4"/>
    <s v="Check out our latest image on twitter!"/>
    <n v="305"/>
    <n v="187"/>
    <n v="243"/>
    <n v="4575"/>
    <n v="3704"/>
    <n v="234"/>
    <s v="#FutureOfDriving"/>
    <m/>
    <m/>
    <s v="FSDUpdate"/>
    <x v="83"/>
  </r>
  <r>
    <x v="2"/>
    <s v="Check out our latest video on facebook!"/>
    <n v="4453"/>
    <n v="111"/>
    <n v="420"/>
    <n v="31171"/>
    <n v="30565"/>
    <n v="23"/>
    <s v="#TeslaCoInnovation"/>
    <m/>
    <m/>
    <m/>
    <x v="84"/>
  </r>
  <r>
    <x v="3"/>
    <s v="Check out our latest carousel on facebook!"/>
    <n v="2089"/>
    <n v="476"/>
    <n v="69"/>
    <n v="16712"/>
    <n v="16309"/>
    <n v="64"/>
    <s v="#FutureOfDriving"/>
    <m/>
    <m/>
    <s v="FSDUpdate"/>
    <x v="85"/>
  </r>
  <r>
    <x v="4"/>
    <s v="Check out our latest image on facebook!"/>
    <n v="947"/>
    <n v="338"/>
    <n v="350"/>
    <n v="10417"/>
    <n v="9730"/>
    <n v="34"/>
    <s v="#TeslaCoInnovation"/>
    <m/>
    <m/>
    <s v="SustainabilityDrive"/>
    <x v="86"/>
  </r>
  <r>
    <x v="4"/>
    <s v="Check out our latest image on facebook!"/>
    <n v="2291"/>
    <n v="78"/>
    <n v="485"/>
    <n v="18328"/>
    <n v="18101"/>
    <n v="10"/>
    <s v="#EVRevolution"/>
    <s v="#SmoothLikeNitroTesla"/>
    <m/>
    <s v="ModelYCampaign"/>
    <x v="87"/>
  </r>
  <r>
    <x v="5"/>
    <s v="Check out our latest text on twitter!"/>
    <n v="3239"/>
    <n v="43"/>
    <n v="211"/>
    <n v="22673"/>
    <n v="22171"/>
    <n v="230"/>
    <s v="#TeslaCoInnovation"/>
    <m/>
    <m/>
    <s v="ModelYCampaign"/>
    <x v="88"/>
  </r>
  <r>
    <x v="5"/>
    <s v="Check out our latest text on youtube!"/>
    <n v="4934"/>
    <n v="971"/>
    <n v="156"/>
    <n v="39472"/>
    <n v="39025"/>
    <n v="169"/>
    <s v="#TeslaCoInnovation"/>
    <s v="#AnytimeIsTeslaTime"/>
    <m/>
    <s v="SustainabilityDrive"/>
    <x v="89"/>
  </r>
  <r>
    <x v="4"/>
    <s v="Check out our latest image on youtube!"/>
    <n v="1206"/>
    <n v="238"/>
    <n v="36"/>
    <n v="9648"/>
    <n v="9417"/>
    <n v="237"/>
    <s v="#TeslaCoInnovation"/>
    <m/>
    <m/>
    <m/>
    <x v="90"/>
  </r>
  <r>
    <x v="1"/>
    <s v="Check out our latest reel on instagram!"/>
    <n v="3256"/>
    <n v="459"/>
    <n v="266"/>
    <n v="26048"/>
    <n v="25529"/>
    <n v="143"/>
    <s v="#TeslaCoInnovation"/>
    <m/>
    <m/>
    <s v="ModelYCampaign"/>
    <x v="91"/>
  </r>
  <r>
    <x v="0"/>
    <s v="Check out our latest story on instagram!"/>
    <n v="2404"/>
    <n v="363"/>
    <n v="138"/>
    <n v="19232"/>
    <n v="18636"/>
    <n v="128"/>
    <s v="#EVRevolution"/>
    <m/>
    <m/>
    <s v="SustainabilityDrive"/>
    <x v="92"/>
  </r>
  <r>
    <x v="0"/>
    <s v="Check out our latest story on facebook!"/>
    <n v="4242"/>
    <n v="555"/>
    <n v="131"/>
    <n v="33936"/>
    <n v="33802"/>
    <n v="265"/>
    <s v="#FutureOfDriving"/>
    <m/>
    <m/>
    <m/>
    <x v="93"/>
  </r>
  <r>
    <x v="2"/>
    <s v="Check out our latest video on instagram!"/>
    <n v="1176"/>
    <n v="464"/>
    <n v="394"/>
    <n v="14112"/>
    <n v="13588"/>
    <n v="272"/>
    <s v="#EVRevolution"/>
    <m/>
    <m/>
    <m/>
    <x v="94"/>
  </r>
  <r>
    <x v="2"/>
    <s v="Check out our latest video on twitter!"/>
    <n v="1330"/>
    <n v="925"/>
    <n v="35"/>
    <n v="15960"/>
    <n v="15379"/>
    <n v="229"/>
    <s v="#FutureOfDriving"/>
    <m/>
    <m/>
    <s v="FSDUpdate"/>
    <x v="95"/>
  </r>
  <r>
    <x v="1"/>
    <s v="Check out our latest reel on twitter!"/>
    <n v="1076"/>
    <n v="313"/>
    <n v="306"/>
    <n v="11836"/>
    <n v="11596"/>
    <n v="104"/>
    <s v="#FutureOfDriving"/>
    <m/>
    <m/>
    <s v="CybertruckLaunch"/>
    <x v="96"/>
  </r>
  <r>
    <x v="3"/>
    <s v="Check out our latest carousel on twitter!"/>
    <n v="4274"/>
    <n v="340"/>
    <n v="281"/>
    <n v="34192"/>
    <n v="33446"/>
    <n v="129"/>
    <s v="#TeslaCoInnovation"/>
    <s v="#SmoothLikeNitroTesla"/>
    <m/>
    <s v="FSDUpdate"/>
    <x v="97"/>
  </r>
  <r>
    <x v="2"/>
    <s v="Check out our latest video on twitter!"/>
    <n v="4886"/>
    <n v="983"/>
    <n v="409"/>
    <n v="43974"/>
    <n v="43239"/>
    <n v="65"/>
    <s v="#TeslaCoInnovation"/>
    <m/>
    <m/>
    <s v="CybertruckLaunch"/>
    <x v="98"/>
  </r>
  <r>
    <x v="3"/>
    <s v="Check out our latest carousel on twitter!"/>
    <n v="3811"/>
    <n v="866"/>
    <n v="216"/>
    <n v="34299"/>
    <n v="34088"/>
    <n v="233"/>
    <s v="#TeslaCoInnovation"/>
    <m/>
    <m/>
    <s v="SustainabilityDrive"/>
    <x v="99"/>
  </r>
  <r>
    <x v="5"/>
    <s v="Check out our latest text on instagram!"/>
    <n v="4941"/>
    <n v="414"/>
    <n v="266"/>
    <n v="39528"/>
    <n v="39154"/>
    <n v="217"/>
    <s v="#TeslaCoInnovation"/>
    <m/>
    <m/>
    <s v="FSDUpdate"/>
    <x v="100"/>
  </r>
  <r>
    <x v="4"/>
    <s v="Check out our latest image on twitter!"/>
    <n v="4750"/>
    <n v="151"/>
    <n v="415"/>
    <n v="38000"/>
    <n v="37792"/>
    <n v="299"/>
    <s v="#EVRevolution"/>
    <m/>
    <m/>
    <s v="SustainabilityDrive"/>
    <x v="101"/>
  </r>
  <r>
    <x v="4"/>
    <s v="Check out our latest image on facebook!"/>
    <n v="2581"/>
    <n v="517"/>
    <n v="117"/>
    <n v="23229"/>
    <n v="22331"/>
    <n v="70"/>
    <s v="#FutureOfDriving"/>
    <m/>
    <m/>
    <s v="FSDUpdate"/>
    <x v="102"/>
  </r>
  <r>
    <x v="5"/>
    <s v="Check out our latest text on facebook!"/>
    <n v="3828"/>
    <n v="148"/>
    <n v="253"/>
    <n v="30624"/>
    <n v="30229"/>
    <n v="235"/>
    <s v="#EVRevolution"/>
    <m/>
    <m/>
    <m/>
    <x v="103"/>
  </r>
  <r>
    <x v="0"/>
    <s v="Check out our latest story on youtube!"/>
    <n v="3655"/>
    <n v="568"/>
    <n v="286"/>
    <n v="32895"/>
    <n v="32015"/>
    <n v="199"/>
    <s v="#TeslaCoInnovation"/>
    <m/>
    <m/>
    <s v="FSDUpdate"/>
    <x v="104"/>
  </r>
  <r>
    <x v="3"/>
    <s v="Check out our latest carousel on instagram!"/>
    <n v="914"/>
    <n v="464"/>
    <n v="246"/>
    <n v="11882"/>
    <n v="11500"/>
    <n v="282"/>
    <s v="#FutureOfDriving"/>
    <s v="#TeslaCoInnovation"/>
    <s v="#AnytimeIsTeslaTime"/>
    <s v="SustainabilityDrive"/>
    <x v="105"/>
  </r>
  <r>
    <x v="4"/>
    <s v="Check out our latest image on twitter!"/>
    <n v="3215"/>
    <n v="960"/>
    <n v="202"/>
    <n v="32150"/>
    <n v="31404"/>
    <n v="251"/>
    <s v="#EVRevolution"/>
    <m/>
    <m/>
    <s v="CybertruckLaunch"/>
    <x v="106"/>
  </r>
  <r>
    <x v="0"/>
    <s v="Check out our latest story on twitter!"/>
    <n v="3801"/>
    <n v="967"/>
    <n v="401"/>
    <n v="38010"/>
    <n v="37625"/>
    <n v="236"/>
    <s v="#FutureOfDriving"/>
    <m/>
    <m/>
    <s v="FSDUpdate"/>
    <x v="107"/>
  </r>
  <r>
    <x v="0"/>
    <s v="Check out our latest story on facebook!"/>
    <n v="302"/>
    <n v="47"/>
    <n v="430"/>
    <n v="5738"/>
    <n v="4890"/>
    <n v="25"/>
    <s v="#TeslaCoInnovation"/>
    <m/>
    <m/>
    <s v="SustainabilityDrive"/>
    <x v="108"/>
  </r>
  <r>
    <x v="5"/>
    <s v="Check out our latest text on youtube!"/>
    <n v="4021"/>
    <n v="794"/>
    <n v="77"/>
    <n v="36189"/>
    <n v="35505"/>
    <n v="174"/>
    <s v="#EVRevolution"/>
    <m/>
    <m/>
    <m/>
    <x v="109"/>
  </r>
  <r>
    <x v="0"/>
    <s v="Check out our latest story on youtube!"/>
    <n v="2754"/>
    <n v="130"/>
    <n v="90"/>
    <n v="22032"/>
    <n v="21288"/>
    <n v="112"/>
    <s v="#TeslaCoInnovation"/>
    <m/>
    <m/>
    <s v="FSDUpdate"/>
    <x v="110"/>
  </r>
  <r>
    <x v="0"/>
    <s v="Check out our latest story on instagram!"/>
    <n v="1947"/>
    <n v="842"/>
    <n v="101"/>
    <n v="21417"/>
    <n v="20967"/>
    <n v="186"/>
    <s v="#FutureOfDriving"/>
    <m/>
    <m/>
    <s v="ModelYCampaign"/>
    <x v="111"/>
  </r>
  <r>
    <x v="3"/>
    <s v="Check out our latest carousel on instagram!"/>
    <n v="4799"/>
    <n v="694"/>
    <n v="289"/>
    <n v="43191"/>
    <n v="42228"/>
    <n v="118"/>
    <s v="#TeslaCoInnovation"/>
    <m/>
    <m/>
    <m/>
    <x v="112"/>
  </r>
  <r>
    <x v="1"/>
    <s v="Check out our latest reel on youtube!"/>
    <n v="1855"/>
    <n v="200"/>
    <n v="174"/>
    <n v="16695"/>
    <n v="16330"/>
    <n v="123"/>
    <s v="#TeslaCoInnovation"/>
    <m/>
    <m/>
    <s v="FSDUpdate"/>
    <x v="113"/>
  </r>
  <r>
    <x v="4"/>
    <s v="Check out our latest image on twitter!"/>
    <n v="2692"/>
    <n v="115"/>
    <n v="64"/>
    <n v="21536"/>
    <n v="21120"/>
    <n v="224"/>
    <s v="#FutureOfDriving"/>
    <m/>
    <m/>
    <s v="ModelYCampaign"/>
    <x v="114"/>
  </r>
  <r>
    <x v="1"/>
    <s v="Check out our latest reel on instagram!"/>
    <n v="4840"/>
    <n v="658"/>
    <n v="211"/>
    <n v="43560"/>
    <n v="43225"/>
    <n v="57"/>
    <s v="#FutureOfDriving"/>
    <m/>
    <m/>
    <s v="FSDUpdate"/>
    <x v="115"/>
  </r>
  <r>
    <x v="5"/>
    <s v="Check out our latest text on facebook!"/>
    <n v="1257"/>
    <n v="19"/>
    <n v="351"/>
    <n v="12570"/>
    <n v="11660"/>
    <n v="194"/>
    <s v="#FutureOfDriving"/>
    <s v="#AnytimeIsTeslaTime"/>
    <s v="#EVRevolution"/>
    <s v="ModelYCampaign"/>
    <x v="116"/>
  </r>
  <r>
    <x v="0"/>
    <s v="Check out our latest story on twitter!"/>
    <n v="4000"/>
    <n v="689"/>
    <n v="488"/>
    <n v="40000"/>
    <n v="39569"/>
    <n v="44"/>
    <s v="#FutureOfDriving"/>
    <m/>
    <m/>
    <s v="CybertruckLaunch"/>
    <x v="117"/>
  </r>
  <r>
    <x v="3"/>
    <s v="Check out our latest carousel on facebook!"/>
    <n v="2946"/>
    <n v="498"/>
    <n v="367"/>
    <n v="29460"/>
    <n v="28527"/>
    <n v="60"/>
    <s v="#FutureOfDriving"/>
    <m/>
    <m/>
    <s v="FSDUpdate"/>
    <x v="118"/>
  </r>
  <r>
    <x v="3"/>
    <s v="Check out our latest carousel on instagram!"/>
    <n v="498"/>
    <n v="38"/>
    <n v="42"/>
    <n v="4482"/>
    <n v="3647"/>
    <n v="32"/>
    <s v="#FutureOfDriving"/>
    <m/>
    <m/>
    <s v="CybertruckLaunch"/>
    <x v="119"/>
  </r>
  <r>
    <x v="1"/>
    <s v="Check out our latest reel on facebook!"/>
    <n v="1946"/>
    <n v="686"/>
    <n v="377"/>
    <n v="23352"/>
    <n v="22982"/>
    <n v="213"/>
    <s v="#FutureOfDriving"/>
    <m/>
    <m/>
    <s v="FSDUpdate"/>
    <x v="120"/>
  </r>
  <r>
    <x v="4"/>
    <s v="Check out our latest image on facebook!"/>
    <n v="3196"/>
    <n v="941"/>
    <n v="376"/>
    <n v="35156"/>
    <n v="34444"/>
    <n v="241"/>
    <s v="#TeslaCoInnovation"/>
    <m/>
    <m/>
    <s v="FSDUpdate"/>
    <x v="121"/>
  </r>
  <r>
    <x v="4"/>
    <s v="Check out our latest image on facebook!"/>
    <n v="1407"/>
    <n v="400"/>
    <n v="351"/>
    <n v="16884"/>
    <n v="15954"/>
    <n v="113"/>
    <s v="#TeslaCoInnovation"/>
    <m/>
    <m/>
    <s v="CybertruckLaunch"/>
    <x v="122"/>
  </r>
  <r>
    <x v="1"/>
    <s v="Check out our latest reel on youtube!"/>
    <n v="3138"/>
    <n v="123"/>
    <n v="291"/>
    <n v="28242"/>
    <n v="27550"/>
    <n v="87"/>
    <s v="#TeslaCoInnovation"/>
    <m/>
    <m/>
    <s v="SustainabilityDrive"/>
    <x v="123"/>
  </r>
  <r>
    <x v="5"/>
    <s v="Check out our latest text on instagram!"/>
    <n v="1813"/>
    <n v="623"/>
    <n v="72"/>
    <n v="19943"/>
    <n v="18959"/>
    <n v="85"/>
    <s v="#EVRevolution"/>
    <m/>
    <m/>
    <s v="FSDUpdate"/>
    <x v="124"/>
  </r>
  <r>
    <x v="4"/>
    <s v="Check out our latest image on twitter!"/>
    <n v="3092"/>
    <n v="106"/>
    <n v="291"/>
    <n v="27828"/>
    <n v="27217"/>
    <n v="102"/>
    <s v="#FutureOfDriving"/>
    <m/>
    <m/>
    <m/>
    <x v="125"/>
  </r>
  <r>
    <x v="2"/>
    <s v="Check out our latest video on youtube!"/>
    <n v="3809"/>
    <n v="273"/>
    <n v="200"/>
    <n v="34281"/>
    <n v="33534"/>
    <n v="83"/>
    <s v="#EVRevolution"/>
    <m/>
    <m/>
    <s v="CybertruckLaunch"/>
    <x v="126"/>
  </r>
  <r>
    <x v="5"/>
    <s v="Check out our latest text on facebook!"/>
    <n v="2634"/>
    <n v="726"/>
    <n v="241"/>
    <n v="28974"/>
    <n v="28102"/>
    <n v="277"/>
    <s v="#EVRevolution"/>
    <m/>
    <m/>
    <s v="CybertruckLaunch"/>
    <x v="127"/>
  </r>
  <r>
    <x v="5"/>
    <s v="Check out our latest text on facebook!"/>
    <n v="880"/>
    <n v="297"/>
    <n v="345"/>
    <n v="12320"/>
    <n v="11978"/>
    <n v="238"/>
    <s v="#TeslaCoInnovation"/>
    <s v="#AnytimeIsTeslaTime"/>
    <m/>
    <m/>
    <x v="128"/>
  </r>
  <r>
    <x v="2"/>
    <s v="Check out our latest video on youtube!"/>
    <n v="3874"/>
    <n v="884"/>
    <n v="19"/>
    <n v="38740"/>
    <n v="38552"/>
    <n v="219"/>
    <s v="#TeslaCoInnovation"/>
    <m/>
    <m/>
    <s v="ModelYCampaign"/>
    <x v="129"/>
  </r>
  <r>
    <x v="1"/>
    <s v="Check out our latest reel on instagram!"/>
    <n v="3523"/>
    <n v="753"/>
    <n v="482"/>
    <n v="38753"/>
    <n v="38579"/>
    <n v="270"/>
    <s v="#EVRevolution"/>
    <m/>
    <m/>
    <s v="ModelYCampaign"/>
    <x v="130"/>
  </r>
  <r>
    <x v="1"/>
    <s v="Check out our latest reel on facebook!"/>
    <n v="4134"/>
    <n v="824"/>
    <n v="99"/>
    <n v="41340"/>
    <n v="41050"/>
    <n v="177"/>
    <s v="#EVRevolution"/>
    <m/>
    <m/>
    <s v="CybertruckLaunch"/>
    <x v="131"/>
  </r>
  <r>
    <x v="1"/>
    <s v="Check out our latest reel on instagram!"/>
    <n v="1674"/>
    <n v="929"/>
    <n v="37"/>
    <n v="21762"/>
    <n v="20998"/>
    <n v="255"/>
    <s v="#TeslaCoInnovation"/>
    <m/>
    <m/>
    <s v="SustainabilityDrive"/>
    <x v="132"/>
  </r>
  <r>
    <x v="0"/>
    <s v="Check out our latest story on facebook!"/>
    <n v="3767"/>
    <n v="514"/>
    <n v="238"/>
    <n v="37670"/>
    <n v="36807"/>
    <n v="226"/>
    <s v="#FutureOfDriving"/>
    <m/>
    <m/>
    <s v="SustainabilityDrive"/>
    <x v="133"/>
  </r>
  <r>
    <x v="3"/>
    <s v="Check out our latest carousel on youtube!"/>
    <n v="2551"/>
    <n v="915"/>
    <n v="205"/>
    <n v="30612"/>
    <n v="30360"/>
    <n v="227"/>
    <s v="#TeslaCoInnovation"/>
    <m/>
    <m/>
    <s v="ModelYCampaign"/>
    <x v="134"/>
  </r>
  <r>
    <x v="0"/>
    <s v="Check out our latest story on instagram!"/>
    <n v="1881"/>
    <n v="501"/>
    <n v="99"/>
    <n v="20691"/>
    <n v="19987"/>
    <n v="289"/>
    <s v="#EVRevolution"/>
    <m/>
    <m/>
    <m/>
    <x v="135"/>
  </r>
  <r>
    <x v="1"/>
    <s v="Check out our latest reel on facebook!"/>
    <n v="3960"/>
    <n v="266"/>
    <n v="8"/>
    <n v="35640"/>
    <n v="34850"/>
    <n v="208"/>
    <s v="#FutureOfDriving"/>
    <s v="#EVRevolution"/>
    <s v="#BetterWithTesla"/>
    <m/>
    <x v="136"/>
  </r>
  <r>
    <x v="2"/>
    <s v="Check out our latest video on instagram!"/>
    <n v="3775"/>
    <n v="16"/>
    <n v="239"/>
    <n v="33975"/>
    <n v="33310"/>
    <n v="271"/>
    <s v="#FutureOfDriving"/>
    <m/>
    <m/>
    <s v="ModelYCampaign"/>
    <x v="137"/>
  </r>
  <r>
    <x v="4"/>
    <s v="Check out our latest image on twitter!"/>
    <n v="1606"/>
    <n v="451"/>
    <n v="405"/>
    <n v="20878"/>
    <n v="20190"/>
    <n v="219"/>
    <s v="#EVRevolution"/>
    <m/>
    <m/>
    <s v="SustainabilityDrive"/>
    <x v="138"/>
  </r>
  <r>
    <x v="3"/>
    <s v="Check out our latest carousel on instagram!"/>
    <n v="1377"/>
    <n v="796"/>
    <n v="387"/>
    <n v="22032"/>
    <n v="21869"/>
    <n v="189"/>
    <s v="#FutureOfDriving"/>
    <m/>
    <m/>
    <m/>
    <x v="139"/>
  </r>
  <r>
    <x v="0"/>
    <s v="Check out our latest story on instagram!"/>
    <n v="1792"/>
    <n v="614"/>
    <n v="497"/>
    <n v="25088"/>
    <n v="24675"/>
    <n v="65"/>
    <s v="#FutureOfDriving"/>
    <m/>
    <m/>
    <s v="SustainabilityDrive"/>
    <x v="140"/>
  </r>
  <r>
    <x v="5"/>
    <s v="Check out our latest text on twitter!"/>
    <n v="4671"/>
    <n v="876"/>
    <n v="366"/>
    <n v="51381"/>
    <n v="50565"/>
    <n v="245"/>
    <s v="#TeslaCoInnovation"/>
    <m/>
    <m/>
    <s v="SustainabilityDrive"/>
    <x v="141"/>
  </r>
  <r>
    <x v="4"/>
    <s v="Check out our latest image on youtube!"/>
    <n v="2283"/>
    <n v="210"/>
    <n v="130"/>
    <n v="22830"/>
    <n v="22617"/>
    <n v="143"/>
    <s v="#FutureOfDriving"/>
    <m/>
    <m/>
    <s v="ModelYCampaign"/>
    <x v="142"/>
  </r>
  <r>
    <x v="5"/>
    <s v="Check out our latest text on twitter!"/>
    <n v="571"/>
    <n v="190"/>
    <n v="352"/>
    <n v="9707"/>
    <n v="9418"/>
    <n v="231"/>
    <s v="#TeslaCoInnovation"/>
    <m/>
    <m/>
    <s v="SustainabilityDrive"/>
    <x v="143"/>
  </r>
  <r>
    <x v="3"/>
    <s v="Check out our latest carousel on twitter!"/>
    <n v="4419"/>
    <n v="236"/>
    <n v="369"/>
    <n v="44190"/>
    <n v="43582"/>
    <n v="10"/>
    <s v="#EVRevolution"/>
    <m/>
    <m/>
    <s v="CybertruckLaunch"/>
    <x v="144"/>
  </r>
  <r>
    <x v="0"/>
    <s v="Check out our latest story on instagram!"/>
    <n v="1762"/>
    <n v="405"/>
    <n v="423"/>
    <n v="22906"/>
    <n v="21925"/>
    <n v="25"/>
    <s v="#TeslaCoInnovation"/>
    <m/>
    <m/>
    <s v="CybertruckLaunch"/>
    <x v="145"/>
  </r>
  <r>
    <x v="0"/>
    <s v="Check out our latest story on twitter!"/>
    <n v="1575"/>
    <n v="771"/>
    <n v="486"/>
    <n v="25200"/>
    <n v="24826"/>
    <n v="17"/>
    <s v="#FutureOfDriving"/>
    <m/>
    <m/>
    <s v="SustainabilityDrive"/>
    <x v="146"/>
  </r>
  <r>
    <x v="5"/>
    <s v="Check out our latest text on instagram!"/>
    <n v="246"/>
    <n v="149"/>
    <n v="130"/>
    <n v="4674"/>
    <n v="4390"/>
    <n v="217"/>
    <s v="#FutureOfDriving"/>
    <m/>
    <m/>
    <s v="FSDUpdate"/>
    <x v="147"/>
  </r>
  <r>
    <x v="1"/>
    <s v="Check out our latest reel on facebook!"/>
    <n v="1814"/>
    <n v="653"/>
    <n v="363"/>
    <n v="25396"/>
    <n v="25286"/>
    <n v="39"/>
    <s v="#FutureOfDriving"/>
    <s v="#SmoothLikeNitroTesla"/>
    <m/>
    <s v="CybertruckLaunch"/>
    <x v="148"/>
  </r>
  <r>
    <x v="5"/>
    <s v="Check out our latest text on twitter!"/>
    <n v="4516"/>
    <n v="836"/>
    <n v="169"/>
    <n v="49676"/>
    <n v="49257"/>
    <n v="282"/>
    <s v="#EVRevolution"/>
    <m/>
    <m/>
    <s v="SustainabilityDrive"/>
    <x v="149"/>
  </r>
  <r>
    <x v="4"/>
    <s v="Check out our latest image on instagram!"/>
    <n v="3559"/>
    <n v="59"/>
    <n v="289"/>
    <n v="35590"/>
    <n v="35105"/>
    <n v="122"/>
    <s v="#EVRevolution"/>
    <m/>
    <m/>
    <s v="CybertruckLaunch"/>
    <x v="150"/>
  </r>
  <r>
    <x v="3"/>
    <s v="Check out our latest carousel on facebook!"/>
    <n v="3352"/>
    <n v="941"/>
    <n v="482"/>
    <n v="43576"/>
    <n v="43338"/>
    <n v="240"/>
    <s v="#FutureOfDriving"/>
    <m/>
    <m/>
    <s v="ModelYCampaign"/>
    <x v="151"/>
  </r>
  <r>
    <x v="0"/>
    <s v="Check out our latest story on youtube!"/>
    <n v="4775"/>
    <n v="173"/>
    <n v="206"/>
    <n v="47750"/>
    <n v="47544"/>
    <n v="187"/>
    <s v="#FutureOfDriving"/>
    <m/>
    <m/>
    <s v="ModelYCampaign"/>
    <x v="152"/>
  </r>
  <r>
    <x v="5"/>
    <s v="Check out our latest text on twitter!"/>
    <n v="941"/>
    <n v="121"/>
    <n v="458"/>
    <n v="14115"/>
    <n v="13838"/>
    <n v="87"/>
    <s v="#EVRevolution"/>
    <m/>
    <m/>
    <s v="CybertruckLaunch"/>
    <x v="153"/>
  </r>
  <r>
    <x v="2"/>
    <s v="Check out our latest video on instagram!"/>
    <n v="1488"/>
    <n v="417"/>
    <n v="168"/>
    <n v="19344"/>
    <n v="18395"/>
    <n v="30"/>
    <s v="#FutureOfDriving"/>
    <m/>
    <m/>
    <s v="FSDUpdate"/>
    <x v="154"/>
  </r>
  <r>
    <x v="0"/>
    <s v="Check out our latest story on twitter!"/>
    <n v="2164"/>
    <n v="549"/>
    <n v="274"/>
    <n v="28132"/>
    <n v="27361"/>
    <n v="177"/>
    <s v="#TeslaCoInnovation"/>
    <m/>
    <m/>
    <s v="SustainabilityDrive"/>
    <x v="155"/>
  </r>
  <r>
    <x v="2"/>
    <s v="Check out our latest video on twitter!"/>
    <n v="3820"/>
    <n v="697"/>
    <n v="268"/>
    <n v="45840"/>
    <n v="45631"/>
    <n v="171"/>
    <s v="#TeslaCoInnovation"/>
    <s v="#SmoothLikeNitroTesla"/>
    <m/>
    <s v="SustainabilityDrive"/>
    <x v="156"/>
  </r>
  <r>
    <x v="4"/>
    <s v="Check out our latest image on youtube!"/>
    <n v="3929"/>
    <n v="262"/>
    <n v="278"/>
    <n v="43219"/>
    <n v="42841"/>
    <n v="39"/>
    <s v="#EVRevolution"/>
    <m/>
    <m/>
    <s v="SustainabilityDrive"/>
    <x v="157"/>
  </r>
  <r>
    <x v="4"/>
    <s v="Check out our latest image on twitter!"/>
    <n v="1238"/>
    <n v="366"/>
    <n v="444"/>
    <n v="19808"/>
    <n v="19334"/>
    <n v="123"/>
    <s v="#FutureOfDriving"/>
    <m/>
    <m/>
    <m/>
    <x v="158"/>
  </r>
  <r>
    <x v="1"/>
    <s v="Check out our latest reel on instagram!"/>
    <n v="3000"/>
    <n v="382"/>
    <n v="325"/>
    <n v="36000"/>
    <n v="35819"/>
    <n v="19"/>
    <s v="#FutureOfDriving"/>
    <m/>
    <m/>
    <s v="CybertruckLaunch"/>
    <x v="159"/>
  </r>
  <r>
    <x v="4"/>
    <s v="Check out our latest image on facebook!"/>
    <n v="4689"/>
    <n v="134"/>
    <n v="403"/>
    <n v="51579"/>
    <n v="50924"/>
    <n v="173"/>
    <s v="#TeslaCoInnovation"/>
    <m/>
    <m/>
    <s v="SustainabilityDrive"/>
    <x v="160"/>
  </r>
  <r>
    <x v="0"/>
    <s v="Check out our latest story on facebook!"/>
    <n v="4182"/>
    <n v="640"/>
    <n v="240"/>
    <n v="50184"/>
    <n v="49351"/>
    <n v="10"/>
    <s v="#TeslaCoInnovation"/>
    <m/>
    <m/>
    <s v="FSDUpdate"/>
    <x v="161"/>
  </r>
  <r>
    <x v="2"/>
    <s v="Check out our latest video on instagram!"/>
    <n v="1071"/>
    <n v="519"/>
    <n v="22"/>
    <n v="16065"/>
    <n v="15865"/>
    <n v="103"/>
    <s v="#TeslaCoInnovation"/>
    <m/>
    <m/>
    <s v="SustainabilityDrive"/>
    <x v="162"/>
  </r>
  <r>
    <x v="2"/>
    <s v="Check out our latest video on twitter!"/>
    <n v="4050"/>
    <n v="871"/>
    <n v="347"/>
    <n v="52650"/>
    <n v="51755"/>
    <n v="209"/>
    <s v="#TeslaCoInnovation"/>
    <m/>
    <m/>
    <s v="ModelYCampaign"/>
    <x v="163"/>
  </r>
  <r>
    <x v="3"/>
    <s v="Check out our latest carousel on instagram!"/>
    <n v="4158"/>
    <n v="167"/>
    <n v="241"/>
    <n v="45738"/>
    <n v="45183"/>
    <n v="142"/>
    <s v="#FutureOfDriving"/>
    <m/>
    <m/>
    <m/>
    <x v="164"/>
  </r>
  <r>
    <x v="4"/>
    <s v="Check out our latest image on facebook!"/>
    <n v="3689"/>
    <n v="48"/>
    <n v="306"/>
    <n v="40579"/>
    <n v="39588"/>
    <n v="212"/>
    <s v="#EVRevolution"/>
    <m/>
    <m/>
    <s v="ModelYCampaign"/>
    <x v="165"/>
  </r>
  <r>
    <x v="0"/>
    <s v="Check out our latest story on youtube!"/>
    <n v="4285"/>
    <n v="886"/>
    <n v="376"/>
    <n v="55705"/>
    <n v="55556"/>
    <n v="51"/>
    <s v="#FutureOfDriving"/>
    <m/>
    <m/>
    <s v="FSDUpdate"/>
    <x v="166"/>
  </r>
  <r>
    <x v="4"/>
    <s v="Check out our latest image on twitter!"/>
    <n v="4858"/>
    <n v="317"/>
    <n v="129"/>
    <n v="53438"/>
    <n v="52687"/>
    <n v="223"/>
    <s v="#EVRevolution"/>
    <m/>
    <m/>
    <s v="FSDUpdate"/>
    <x v="167"/>
  </r>
  <r>
    <x v="5"/>
    <s v="Check out our latest text on instagram!"/>
    <n v="4771"/>
    <n v="818"/>
    <n v="56"/>
    <n v="57252"/>
    <n v="56378"/>
    <n v="150"/>
    <s v="#FutureOfDriving"/>
    <m/>
    <m/>
    <m/>
    <x v="168"/>
  </r>
  <r>
    <x v="4"/>
    <s v="Check out our latest image on twitter!"/>
    <n v="2358"/>
    <n v="784"/>
    <n v="344"/>
    <n v="35370"/>
    <n v="34475"/>
    <n v="216"/>
    <s v="#TeslaCoInnovation"/>
    <m/>
    <m/>
    <m/>
    <x v="169"/>
  </r>
  <r>
    <x v="2"/>
    <s v="Check out our latest video on youtube!"/>
    <n v="1018"/>
    <n v="447"/>
    <n v="332"/>
    <n v="18324"/>
    <n v="18164"/>
    <n v="38"/>
    <s v="#FutureOfDriving"/>
    <m/>
    <m/>
    <s v="ModelYCampaign"/>
    <x v="170"/>
  </r>
  <r>
    <x v="0"/>
    <s v="Check out our latest story on youtube!"/>
    <n v="3641"/>
    <n v="226"/>
    <n v="46"/>
    <n v="40051"/>
    <n v="39319"/>
    <n v="296"/>
    <s v="#EVRevolution"/>
    <m/>
    <m/>
    <s v="SustainabilityDrive"/>
    <x v="171"/>
  </r>
  <r>
    <x v="4"/>
    <s v="Check out our latest image on twitter!"/>
    <n v="3592"/>
    <n v="911"/>
    <n v="375"/>
    <n v="50288"/>
    <n v="49490"/>
    <n v="32"/>
    <s v="#FutureOfDriving"/>
    <m/>
    <m/>
    <s v="SustainabilityDrive"/>
    <x v="172"/>
  </r>
  <r>
    <x v="3"/>
    <s v="Check out our latest carousel on instagram!"/>
    <n v="4523"/>
    <n v="61"/>
    <n v="157"/>
    <n v="49753"/>
    <n v="49329"/>
    <n v="71"/>
    <s v="#EVRevolution"/>
    <m/>
    <m/>
    <m/>
    <x v="173"/>
  </r>
  <r>
    <x v="0"/>
    <s v="Check out our latest story on instagram!"/>
    <n v="1816"/>
    <n v="29"/>
    <n v="41"/>
    <n v="19976"/>
    <n v="19262"/>
    <n v="283"/>
    <s v="#TeslaCoInnovation"/>
    <m/>
    <m/>
    <s v="FSDUpdate"/>
    <x v="174"/>
  </r>
  <r>
    <x v="5"/>
    <s v="Check out our latest text on facebook!"/>
    <n v="4441"/>
    <n v="511"/>
    <n v="70"/>
    <n v="53292"/>
    <n v="53082"/>
    <n v="159"/>
    <s v="#EVRevolution"/>
    <m/>
    <m/>
    <s v="SustainabilityDrive"/>
    <x v="175"/>
  </r>
  <r>
    <x v="5"/>
    <s v="Check out our latest text on youtube!"/>
    <n v="2746"/>
    <n v="156"/>
    <n v="203"/>
    <n v="32952"/>
    <n v="32147"/>
    <n v="147"/>
    <s v="#EVRevolution"/>
    <m/>
    <m/>
    <s v="CybertruckLaunch"/>
    <x v="176"/>
  </r>
  <r>
    <x v="5"/>
    <s v="Check out our latest text on twitter!"/>
    <n v="1292"/>
    <n v="626"/>
    <n v="496"/>
    <n v="25840"/>
    <n v="24916"/>
    <n v="149"/>
    <s v="#FutureOfDriving"/>
    <m/>
    <m/>
    <s v="FSDUpdate"/>
    <x v="177"/>
  </r>
  <r>
    <x v="5"/>
    <s v="Check out our latest text on instagram!"/>
    <n v="2180"/>
    <n v="263"/>
    <n v="387"/>
    <n v="30520"/>
    <n v="30059"/>
    <n v="174"/>
    <s v="#EVRevolution"/>
    <m/>
    <m/>
    <m/>
    <x v="178"/>
  </r>
  <r>
    <x v="2"/>
    <s v="Check out our latest video on youtube!"/>
    <n v="1766"/>
    <n v="92"/>
    <n v="424"/>
    <n v="24724"/>
    <n v="24333"/>
    <n v="52"/>
    <s v="#EVRevolution"/>
    <m/>
    <m/>
    <m/>
    <x v="179"/>
  </r>
  <r>
    <x v="4"/>
    <s v="Check out our latest image on facebook!"/>
    <n v="1226"/>
    <n v="119"/>
    <n v="7"/>
    <n v="14712"/>
    <n v="14049"/>
    <n v="123"/>
    <s v="#EVRevolution"/>
    <m/>
    <m/>
    <s v="SustainabilityDrive"/>
    <x v="180"/>
  </r>
  <r>
    <x v="3"/>
    <s v="Check out our latest carousel on instagram!"/>
    <n v="3099"/>
    <n v="694"/>
    <n v="171"/>
    <n v="43386"/>
    <n v="42921"/>
    <n v="52"/>
    <s v="#TeslaCoInnovation"/>
    <m/>
    <m/>
    <s v="FSDUpdate"/>
    <x v="181"/>
  </r>
  <r>
    <x v="2"/>
    <s v="Check out our latest video on twitter!"/>
    <n v="1082"/>
    <n v="209"/>
    <n v="484"/>
    <n v="19476"/>
    <n v="18654"/>
    <n v="20"/>
    <s v="#TeslaCoInnovation"/>
    <m/>
    <m/>
    <m/>
    <x v="182"/>
  </r>
  <r>
    <x v="1"/>
    <s v="Check out our latest reel on twitter!"/>
    <n v="1461"/>
    <n v="184"/>
    <n v="344"/>
    <n v="21915"/>
    <n v="21675"/>
    <n v="15"/>
    <s v="#FutureOfDriving"/>
    <s v="#AnytimeIsTeslaTime"/>
    <m/>
    <s v="CybertruckLaunch"/>
    <x v="183"/>
  </r>
  <r>
    <x v="1"/>
    <s v="Check out our latest reel on twitter!"/>
    <n v="802"/>
    <n v="262"/>
    <n v="244"/>
    <n v="14436"/>
    <n v="14280"/>
    <n v="49"/>
    <s v="#EVRevolution"/>
    <m/>
    <m/>
    <s v="CybertruckLaunch"/>
    <x v="184"/>
  </r>
  <r>
    <x v="5"/>
    <s v="Check out our latest text on youtube!"/>
    <n v="3711"/>
    <n v="352"/>
    <n v="290"/>
    <n v="48243"/>
    <n v="47579"/>
    <n v="11"/>
    <s v="#TeslaCoInnovation"/>
    <m/>
    <m/>
    <s v="CybertruckLaunch"/>
    <x v="185"/>
  </r>
  <r>
    <x v="1"/>
    <s v="Check out our latest reel on youtube!"/>
    <n v="3009"/>
    <n v="413"/>
    <n v="358"/>
    <n v="42126"/>
    <n v="41309"/>
    <n v="211"/>
    <s v="#FutureOfDriving"/>
    <m/>
    <m/>
    <s v="ModelYCampaign"/>
    <x v="186"/>
  </r>
  <r>
    <x v="1"/>
    <s v="Check out our latest reel on youtube!"/>
    <n v="2936"/>
    <n v="439"/>
    <n v="44"/>
    <n v="38168"/>
    <n v="37571"/>
    <n v="22"/>
    <s v="#EVRevolution"/>
    <m/>
    <m/>
    <s v="SustainabilityDrive"/>
    <x v="187"/>
  </r>
  <r>
    <x v="3"/>
    <s v="Check out our latest carousel on instagram!"/>
    <n v="3068"/>
    <n v="137"/>
    <n v="329"/>
    <n v="39884"/>
    <n v="39404"/>
    <n v="266"/>
    <s v="#EVRevolution"/>
    <m/>
    <m/>
    <s v="ModelYCampaign"/>
    <x v="188"/>
  </r>
  <r>
    <x v="1"/>
    <s v="Check out our latest reel on youtube!"/>
    <n v="296"/>
    <n v="60"/>
    <n v="141"/>
    <n v="5624"/>
    <n v="5239"/>
    <n v="88"/>
    <s v="#EVRevolution"/>
    <m/>
    <m/>
    <s v="ModelYCampaign"/>
    <x v="189"/>
  </r>
  <r>
    <x v="5"/>
    <s v="Check out our latest text on facebook!"/>
    <n v="3784"/>
    <n v="808"/>
    <n v="404"/>
    <n v="56760"/>
    <n v="56343"/>
    <n v="131"/>
    <s v="#TeslaCoInnovation"/>
    <m/>
    <m/>
    <s v="ModelYCampaign"/>
    <x v="190"/>
  </r>
  <r>
    <x v="0"/>
    <s v="Check out our latest story on instagram!"/>
    <n v="4332"/>
    <n v="771"/>
    <n v="219"/>
    <n v="60648"/>
    <n v="60397"/>
    <n v="10"/>
    <s v="#TeslaCoInnovation"/>
    <s v="#EVRevolution"/>
    <s v="#BetterWithTesla"/>
    <s v="FSDUpdate"/>
    <x v="191"/>
  </r>
  <r>
    <x v="4"/>
    <s v="Check out our latest image on twitter!"/>
    <n v="827"/>
    <n v="77"/>
    <n v="402"/>
    <n v="14886"/>
    <n v="14129"/>
    <n v="254"/>
    <s v="#EVRevolution"/>
    <m/>
    <m/>
    <s v="ModelYCampaign"/>
    <x v="192"/>
  </r>
  <r>
    <x v="4"/>
    <s v="Check out our latest image on instagram!"/>
    <n v="4739"/>
    <n v="527"/>
    <n v="135"/>
    <n v="61607"/>
    <n v="61333"/>
    <n v="36"/>
    <s v="#TeslaCoInnovation"/>
    <s v="#AnytimeIsTeslaTime"/>
    <m/>
    <s v="ModelYCampaign"/>
    <x v="193"/>
  </r>
  <r>
    <x v="1"/>
    <s v="Check out our latest reel on twitter!"/>
    <n v="3791"/>
    <n v="593"/>
    <n v="228"/>
    <n v="53074"/>
    <n v="52613"/>
    <n v="205"/>
    <s v="#EVRevolution"/>
    <m/>
    <m/>
    <m/>
    <x v="194"/>
  </r>
  <r>
    <x v="4"/>
    <s v="Check out our latest image on facebook!"/>
    <n v="1841"/>
    <n v="851"/>
    <n v="342"/>
    <n v="34979"/>
    <n v="34154"/>
    <n v="255"/>
    <s v="#FutureOfDriving"/>
    <m/>
    <m/>
    <s v="SustainabilityDrive"/>
    <x v="195"/>
  </r>
  <r>
    <x v="0"/>
    <s v="Check out our latest story on facebook!"/>
    <n v="3430"/>
    <n v="566"/>
    <n v="164"/>
    <n v="48020"/>
    <n v="47305"/>
    <n v="120"/>
    <s v="#FutureOfDriving"/>
    <m/>
    <m/>
    <m/>
    <x v="196"/>
  </r>
  <r>
    <x v="2"/>
    <s v="Check out our latest video on youtube!"/>
    <n v="2949"/>
    <n v="476"/>
    <n v="403"/>
    <n v="44235"/>
    <n v="43705"/>
    <n v="135"/>
    <s v="#TeslaCoInnovation"/>
    <m/>
    <m/>
    <s v="ModelYCampaign"/>
    <x v="197"/>
  </r>
  <r>
    <x v="3"/>
    <s v="Check out our latest carousel on twitter!"/>
    <n v="929"/>
    <n v="192"/>
    <n v="322"/>
    <n v="16722"/>
    <n v="15996"/>
    <n v="145"/>
    <s v="#EVRevolution"/>
    <s v="#TeslaCoInnovation"/>
    <s v="#AnytimeIsTeslaTime"/>
    <s v="FSDUpdate"/>
    <x v="198"/>
  </r>
  <r>
    <x v="5"/>
    <s v="Check out our latest text on instagram!"/>
    <n v="1430"/>
    <n v="376"/>
    <n v="33"/>
    <n v="21450"/>
    <n v="20509"/>
    <n v="251"/>
    <s v="#FutureOfDriving"/>
    <m/>
    <m/>
    <s v="CybertruckLaunch"/>
    <x v="199"/>
  </r>
  <r>
    <x v="4"/>
    <s v="Check out our latest image on instagram!"/>
    <n v="4619"/>
    <n v="821"/>
    <n v="499"/>
    <n v="69285"/>
    <n v="69141"/>
    <n v="298"/>
    <s v="#TeslaCoInnovation"/>
    <m/>
    <m/>
    <s v="SustainabilityDrive"/>
    <x v="200"/>
  </r>
  <r>
    <x v="4"/>
    <s v="Check out our latest image on instagram!"/>
    <n v="725"/>
    <n v="88"/>
    <n v="428"/>
    <n v="14500"/>
    <n v="13637"/>
    <n v="200"/>
    <s v="#FutureOfDriving"/>
    <s v="#TeslaCoInnovation"/>
    <s v="#AnytimeIsTeslaTime"/>
    <s v="FSDUpdate"/>
    <x v="201"/>
  </r>
  <r>
    <x v="3"/>
    <s v="Check out our latest carousel on youtube!"/>
    <n v="2509"/>
    <n v="324"/>
    <n v="171"/>
    <n v="35126"/>
    <n v="34685"/>
    <n v="277"/>
    <s v="#TeslaCoInnovation"/>
    <m/>
    <m/>
    <s v="ModelYCampaign"/>
    <x v="202"/>
  </r>
  <r>
    <x v="1"/>
    <s v="Check out our latest reel on youtube!"/>
    <n v="2728"/>
    <n v="533"/>
    <n v="215"/>
    <n v="40920"/>
    <n v="40816"/>
    <n v="137"/>
    <s v="#FutureOfDriving"/>
    <m/>
    <m/>
    <s v="ModelYCampaign"/>
    <x v="203"/>
  </r>
  <r>
    <x v="3"/>
    <s v="Check out our latest carousel on facebook!"/>
    <n v="4292"/>
    <n v="51"/>
    <n v="392"/>
    <n v="55796"/>
    <n v="54826"/>
    <n v="264"/>
    <s v="#EVRevolution"/>
    <m/>
    <m/>
    <s v="FSDUpdate"/>
    <x v="204"/>
  </r>
  <r>
    <x v="0"/>
    <s v="Check out our latest story on youtube!"/>
    <n v="4350"/>
    <n v="771"/>
    <n v="7"/>
    <n v="60900"/>
    <n v="60592"/>
    <n v="195"/>
    <s v="#EVRevolution"/>
    <m/>
    <m/>
    <s v="CybertruckLaunch"/>
    <x v="205"/>
  </r>
  <r>
    <x v="1"/>
    <s v="Check out our latest reel on instagram!"/>
    <n v="4579"/>
    <n v="125"/>
    <n v="300"/>
    <n v="59527"/>
    <n v="59400"/>
    <n v="269"/>
    <s v="#EVRevolution"/>
    <m/>
    <m/>
    <s v="CybertruckLaunch"/>
    <x v="206"/>
  </r>
  <r>
    <x v="3"/>
    <s v="Check out our latest carousel on instagram!"/>
    <n v="2107"/>
    <n v="550"/>
    <n v="349"/>
    <n v="35819"/>
    <n v="35340"/>
    <n v="191"/>
    <s v="#EVRevolution"/>
    <m/>
    <m/>
    <s v="SustainabilityDrive"/>
    <x v="207"/>
  </r>
  <r>
    <x v="1"/>
    <s v="Check out our latest reel on twitter!"/>
    <n v="1644"/>
    <n v="546"/>
    <n v="150"/>
    <n v="27948"/>
    <n v="27184"/>
    <n v="300"/>
    <s v="#EVRevolution"/>
    <m/>
    <m/>
    <s v="FSDUpdate"/>
    <x v="208"/>
  </r>
  <r>
    <x v="3"/>
    <s v="Check out our latest carousel on twitter!"/>
    <n v="4494"/>
    <n v="717"/>
    <n v="45"/>
    <n v="62916"/>
    <n v="62688"/>
    <n v="191"/>
    <s v="#TeslaCoInnovation"/>
    <s v="#EVRevolution"/>
    <s v="#BetterWithTesla"/>
    <s v="CybertruckLaunch"/>
    <x v="209"/>
  </r>
  <r>
    <x v="2"/>
    <s v="Check out our latest video on youtube!"/>
    <n v="4275"/>
    <n v="680"/>
    <n v="385"/>
    <n v="64125"/>
    <n v="63650"/>
    <n v="104"/>
    <s v="#EVRevolution"/>
    <s v="#TeslaCoInnovation"/>
    <s v="#AnytimeIsTeslaTime"/>
    <s v="SustainabilityDrive"/>
    <x v="210"/>
  </r>
  <r>
    <x v="4"/>
    <s v="Check out our latest image on instagram!"/>
    <n v="4853"/>
    <n v="837"/>
    <n v="340"/>
    <n v="72795"/>
    <n v="72237"/>
    <n v="170"/>
    <s v="#EVRevolution"/>
    <m/>
    <m/>
    <s v="CybertruckLaunch"/>
    <x v="211"/>
  </r>
  <r>
    <x v="2"/>
    <s v="Check out our latest video on twitter!"/>
    <n v="3160"/>
    <n v="204"/>
    <n v="297"/>
    <n v="44240"/>
    <n v="43666"/>
    <n v="49"/>
    <s v="#FutureOfDriving"/>
    <s v="#AnytimeIsTeslaTime"/>
    <m/>
    <s v="SustainabilityDrive"/>
    <x v="212"/>
  </r>
  <r>
    <x v="3"/>
    <s v="Check out our latest carousel on facebook!"/>
    <n v="2696"/>
    <n v="628"/>
    <n v="443"/>
    <n v="45832"/>
    <n v="45632"/>
    <n v="248"/>
    <s v="#EVRevolution"/>
    <m/>
    <m/>
    <s v="SustainabilityDrive"/>
    <x v="213"/>
  </r>
  <r>
    <x v="4"/>
    <s v="Check out our latest image on facebook!"/>
    <n v="1871"/>
    <n v="252"/>
    <n v="335"/>
    <n v="29936"/>
    <n v="29576"/>
    <n v="288"/>
    <s v="#EVRevolution"/>
    <m/>
    <m/>
    <s v="FSDUpdate"/>
    <x v="214"/>
  </r>
  <r>
    <x v="4"/>
    <s v="Check out our latest image on twitter!"/>
    <n v="954"/>
    <n v="324"/>
    <n v="288"/>
    <n v="19080"/>
    <n v="18859"/>
    <n v="21"/>
    <s v="#FutureOfDriving"/>
    <m/>
    <m/>
    <s v="SustainabilityDrive"/>
    <x v="215"/>
  </r>
  <r>
    <x v="4"/>
    <s v="Check out our latest image on facebook!"/>
    <n v="2878"/>
    <n v="248"/>
    <n v="416"/>
    <n v="43170"/>
    <n v="42667"/>
    <n v="75"/>
    <s v="#FutureOfDriving"/>
    <m/>
    <m/>
    <s v="FSDUpdate"/>
    <x v="216"/>
  </r>
  <r>
    <x v="0"/>
    <s v="Check out our latest story on instagram!"/>
    <n v="4808"/>
    <n v="772"/>
    <n v="320"/>
    <n v="72120"/>
    <n v="71696"/>
    <n v="195"/>
    <s v="#EVRevolution"/>
    <m/>
    <m/>
    <s v="CybertruckLaunch"/>
    <x v="217"/>
  </r>
  <r>
    <x v="0"/>
    <s v="Check out our latest story on twitter!"/>
    <n v="1121"/>
    <n v="135"/>
    <n v="18"/>
    <n v="15694"/>
    <n v="14957"/>
    <n v="99"/>
    <s v="#TeslaCoInnovation"/>
    <m/>
    <m/>
    <s v="SustainabilityDrive"/>
    <x v="218"/>
  </r>
  <r>
    <x v="2"/>
    <s v="Check out our latest video on twitter!"/>
    <n v="2825"/>
    <n v="535"/>
    <n v="295"/>
    <n v="45200"/>
    <n v="44739"/>
    <n v="169"/>
    <s v="#TeslaCoInnovation"/>
    <m/>
    <m/>
    <s v="CybertruckLaunch"/>
    <x v="219"/>
  </r>
  <r>
    <x v="5"/>
    <s v="Check out our latest text on instagram!"/>
    <n v="3432"/>
    <n v="869"/>
    <n v="123"/>
    <n v="54912"/>
    <n v="53916"/>
    <n v="264"/>
    <s v="#EVRevolution"/>
    <m/>
    <m/>
    <s v="ModelYCampaign"/>
    <x v="220"/>
  </r>
  <r>
    <x v="5"/>
    <s v="Check out our latest text on facebook!"/>
    <n v="1570"/>
    <n v="187"/>
    <n v="260"/>
    <n v="25120"/>
    <n v="24613"/>
    <n v="133"/>
    <s v="#TeslaCoInnovation"/>
    <m/>
    <m/>
    <s v="SustainabilityDrive"/>
    <x v="221"/>
  </r>
  <r>
    <x v="4"/>
    <s v="Check out our latest image on facebook!"/>
    <n v="4551"/>
    <n v="714"/>
    <n v="207"/>
    <n v="68265"/>
    <n v="67754"/>
    <n v="57"/>
    <s v="#FutureOfDriving"/>
    <m/>
    <m/>
    <s v="FSDUpdate"/>
    <x v="222"/>
  </r>
  <r>
    <x v="4"/>
    <s v="Check out our latest image on facebook!"/>
    <n v="3090"/>
    <n v="697"/>
    <n v="164"/>
    <n v="49440"/>
    <n v="48524"/>
    <n v="25"/>
    <s v="#EVRevolution"/>
    <s v="#EVRevolution"/>
    <s v="#BetterWithTesla"/>
    <s v="ModelYCampaign"/>
    <x v="223"/>
  </r>
  <r>
    <x v="4"/>
    <s v="Check out our latest image on facebook!"/>
    <n v="1263"/>
    <n v="397"/>
    <n v="357"/>
    <n v="25260"/>
    <n v="24615"/>
    <n v="137"/>
    <s v="#EVRevolution"/>
    <m/>
    <m/>
    <s v="SustainabilityDrive"/>
    <x v="224"/>
  </r>
  <r>
    <x v="3"/>
    <s v="Check out our latest carousel on twitter!"/>
    <n v="3535"/>
    <n v="494"/>
    <n v="152"/>
    <n v="53025"/>
    <n v="52791"/>
    <n v="44"/>
    <s v="#TeslaCoInnovation"/>
    <m/>
    <m/>
    <s v="SustainabilityDrive"/>
    <x v="225"/>
  </r>
  <r>
    <x v="3"/>
    <s v="Check out our latest carousel on facebook!"/>
    <n v="2200"/>
    <n v="504"/>
    <n v="239"/>
    <n v="37400"/>
    <n v="36938"/>
    <n v="225"/>
    <s v="#FutureOfDriving"/>
    <m/>
    <m/>
    <s v="ModelYCampaign"/>
    <x v="226"/>
  </r>
  <r>
    <x v="0"/>
    <s v="Check out our latest story on instagram!"/>
    <n v="2103"/>
    <n v="892"/>
    <n v="103"/>
    <n v="39957"/>
    <n v="39466"/>
    <n v="28"/>
    <s v="#FutureOfDriving"/>
    <m/>
    <m/>
    <m/>
    <x v="227"/>
  </r>
  <r>
    <x v="1"/>
    <s v="Check out our latest reel on facebook!"/>
    <n v="3663"/>
    <n v="17"/>
    <n v="295"/>
    <n v="51282"/>
    <n v="50567"/>
    <n v="84"/>
    <s v="#EVRevolution"/>
    <m/>
    <m/>
    <s v="FSDUpdate"/>
    <x v="228"/>
  </r>
  <r>
    <x v="2"/>
    <s v="Check out our latest video on twitter!"/>
    <n v="1702"/>
    <n v="750"/>
    <n v="179"/>
    <n v="34040"/>
    <n v="33174"/>
    <n v="76"/>
    <s v="#EVRevolution"/>
    <m/>
    <m/>
    <s v="CybertruckLaunch"/>
    <x v="229"/>
  </r>
  <r>
    <x v="1"/>
    <s v="Check out our latest reel on instagram!"/>
    <n v="4838"/>
    <n v="640"/>
    <n v="128"/>
    <n v="72570"/>
    <n v="72396"/>
    <n v="83"/>
    <s v="#FutureOfDriving"/>
    <m/>
    <m/>
    <s v="SustainabilityDrive"/>
    <x v="230"/>
  </r>
  <r>
    <x v="2"/>
    <s v="Check out our latest video on facebook!"/>
    <n v="1606"/>
    <n v="547"/>
    <n v="316"/>
    <n v="32120"/>
    <n v="31736"/>
    <n v="225"/>
    <s v="#TeslaCoInnovation"/>
    <s v="#AnytimeIsTeslaTime"/>
    <m/>
    <s v="ModelYCampaign"/>
    <x v="231"/>
  </r>
  <r>
    <x v="0"/>
    <s v="Check out our latest story on instagram!"/>
    <n v="4518"/>
    <n v="285"/>
    <n v="383"/>
    <n v="67770"/>
    <n v="67621"/>
    <n v="31"/>
    <s v="#EVRevolution"/>
    <m/>
    <m/>
    <s v="ModelYCampaign"/>
    <x v="232"/>
  </r>
  <r>
    <x v="5"/>
    <s v="Check out our latest text on twitter!"/>
    <n v="4054"/>
    <n v="389"/>
    <n v="493"/>
    <n v="64864"/>
    <n v="64383"/>
    <n v="117"/>
    <s v="#TeslaCoInnovation"/>
    <s v="#BetterWithTesla"/>
    <m/>
    <s v="ModelYCampaign"/>
    <x v="233"/>
  </r>
  <r>
    <x v="5"/>
    <s v="Check out our latest text on facebook!"/>
    <n v="1272"/>
    <n v="465"/>
    <n v="99"/>
    <n v="24168"/>
    <n v="23719"/>
    <n v="42"/>
    <s v="#TeslaCoInnovation"/>
    <m/>
    <m/>
    <m/>
    <x v="234"/>
  </r>
  <r>
    <x v="3"/>
    <s v="Check out our latest carousel on youtube!"/>
    <n v="1171"/>
    <n v="286"/>
    <n v="231"/>
    <n v="22249"/>
    <n v="21282"/>
    <n v="114"/>
    <s v="#EVRevolution"/>
    <m/>
    <m/>
    <s v="CybertruckLaunch"/>
    <x v="235"/>
  </r>
  <r>
    <x v="5"/>
    <s v="Check out our latest text on facebook!"/>
    <n v="3452"/>
    <n v="377"/>
    <n v="360"/>
    <n v="55232"/>
    <n v="55075"/>
    <n v="87"/>
    <s v="#FutureOfDriving"/>
    <m/>
    <m/>
    <s v="FSDUpdate"/>
    <x v="236"/>
  </r>
  <r>
    <x v="3"/>
    <s v="Check out our latest carousel on facebook!"/>
    <n v="3796"/>
    <n v="667"/>
    <n v="395"/>
    <n v="64532"/>
    <n v="63550"/>
    <n v="292"/>
    <s v="#TeslaCoInnovation"/>
    <m/>
    <m/>
    <m/>
    <x v="237"/>
  </r>
  <r>
    <x v="2"/>
    <s v="Check out our latest video on facebook!"/>
    <n v="3371"/>
    <n v="106"/>
    <n v="327"/>
    <n v="50565"/>
    <n v="49816"/>
    <n v="176"/>
    <s v="#FutureOfDriving"/>
    <m/>
    <m/>
    <s v="CybertruckLaunch"/>
    <x v="238"/>
  </r>
  <r>
    <x v="5"/>
    <s v="Check out our latest text on facebook!"/>
    <n v="2418"/>
    <n v="754"/>
    <n v="54"/>
    <n v="43524"/>
    <n v="42743"/>
    <n v="182"/>
    <s v="#EVRevolution"/>
    <m/>
    <m/>
    <s v="CybertruckLaunch"/>
    <x v="239"/>
  </r>
  <r>
    <x v="4"/>
    <s v="Check out our latest image on youtube!"/>
    <n v="2719"/>
    <n v="17"/>
    <n v="285"/>
    <n v="40785"/>
    <n v="40281"/>
    <n v="40"/>
    <s v="#TeslaCoInnovation"/>
    <m/>
    <m/>
    <s v="ModelYCampaign"/>
    <x v="240"/>
  </r>
  <r>
    <x v="2"/>
    <s v="Check out our latest video on youtube!"/>
    <n v="4450"/>
    <n v="983"/>
    <n v="143"/>
    <n v="75650"/>
    <n v="75008"/>
    <n v="12"/>
    <s v="#FutureOfDriving"/>
    <m/>
    <m/>
    <s v="FSDUpdate"/>
    <x v="241"/>
  </r>
  <r>
    <x v="0"/>
    <s v="Check out our latest story on twitter!"/>
    <n v="1950"/>
    <n v="295"/>
    <n v="478"/>
    <n v="37050"/>
    <n v="36272"/>
    <n v="119"/>
    <s v="#TeslaCoInnovation"/>
    <m/>
    <m/>
    <m/>
    <x v="242"/>
  </r>
  <r>
    <x v="1"/>
    <s v="Check out our latest reel on facebook!"/>
    <n v="3813"/>
    <n v="935"/>
    <n v="274"/>
    <n v="68634"/>
    <n v="68488"/>
    <n v="251"/>
    <s v="#FutureOfDriving"/>
    <m/>
    <m/>
    <m/>
    <x v="243"/>
  </r>
  <r>
    <x v="3"/>
    <s v="Check out our latest carousel on facebook!"/>
    <n v="2751"/>
    <n v="33"/>
    <n v="430"/>
    <n v="44016"/>
    <n v="43415"/>
    <n v="129"/>
    <s v="#FutureOfDriving"/>
    <m/>
    <m/>
    <m/>
    <x v="244"/>
  </r>
  <r>
    <x v="4"/>
    <s v="Check out our latest image on facebook!"/>
    <n v="2382"/>
    <n v="265"/>
    <n v="134"/>
    <n v="38112"/>
    <n v="37437"/>
    <n v="249"/>
    <s v="#FutureOfDriving"/>
    <m/>
    <m/>
    <s v="SustainabilityDrive"/>
    <x v="245"/>
  </r>
  <r>
    <x v="3"/>
    <s v="Check out our latest carousel on facebook!"/>
    <n v="3073"/>
    <n v="553"/>
    <n v="174"/>
    <n v="52241"/>
    <n v="51605"/>
    <n v="246"/>
    <s v="#EVRevolution"/>
    <m/>
    <m/>
    <s v="FSDUpdate"/>
    <x v="246"/>
  </r>
  <r>
    <x v="5"/>
    <s v="Check out our latest text on twitter!"/>
    <n v="4725"/>
    <n v="400"/>
    <n v="362"/>
    <n v="75600"/>
    <n v="74927"/>
    <n v="43"/>
    <s v="#FutureOfDriving"/>
    <m/>
    <m/>
    <s v="SustainabilityDrive"/>
    <x v="247"/>
  </r>
  <r>
    <x v="1"/>
    <s v="Check out our latest reel on facebook!"/>
    <n v="3360"/>
    <n v="525"/>
    <n v="500"/>
    <n v="60480"/>
    <n v="59610"/>
    <n v="192"/>
    <s v="#TeslaCoInnovation"/>
    <m/>
    <m/>
    <s v="CybertruckLaunch"/>
    <x v="248"/>
  </r>
  <r>
    <x v="4"/>
    <s v="Check out our latest image on facebook!"/>
    <n v="3564"/>
    <n v="629"/>
    <n v="177"/>
    <n v="60588"/>
    <n v="59627"/>
    <n v="92"/>
    <s v="#TeslaCoInnovation"/>
    <m/>
    <m/>
    <m/>
    <x v="249"/>
  </r>
  <r>
    <x v="4"/>
    <s v="Check out our latest image on facebook!"/>
    <n v="4872"/>
    <n v="925"/>
    <n v="176"/>
    <n v="82824"/>
    <n v="82543"/>
    <n v="89"/>
    <s v="#EVRevolution"/>
    <m/>
    <m/>
    <s v="ModelYCampaign"/>
    <x v="250"/>
  </r>
  <r>
    <x v="2"/>
    <s v="Check out our latest video on facebook!"/>
    <n v="3961"/>
    <n v="761"/>
    <n v="131"/>
    <n v="67337"/>
    <n v="66615"/>
    <n v="161"/>
    <s v="#FutureOfDriving"/>
    <m/>
    <m/>
    <s v="FSDUpdate"/>
    <x v="251"/>
  </r>
  <r>
    <x v="3"/>
    <s v="Check out our latest carousel on youtube!"/>
    <n v="4171"/>
    <n v="548"/>
    <n v="86"/>
    <n v="66736"/>
    <n v="66634"/>
    <n v="173"/>
    <s v="#FutureOfDriving"/>
    <m/>
    <m/>
    <s v="FSDUpdate"/>
    <x v="252"/>
  </r>
  <r>
    <x v="4"/>
    <s v="Check out our latest image on facebook!"/>
    <n v="4241"/>
    <n v="902"/>
    <n v="47"/>
    <n v="72097"/>
    <n v="71598"/>
    <n v="167"/>
    <s v="#TeslaCoInnovation"/>
    <m/>
    <m/>
    <s v="ModelYCampaign"/>
    <x v="253"/>
  </r>
  <r>
    <x v="2"/>
    <s v="Check out our latest video on facebook!"/>
    <n v="4663"/>
    <n v="145"/>
    <n v="225"/>
    <n v="69945"/>
    <n v="69596"/>
    <n v="35"/>
    <s v="#EVRevolution"/>
    <m/>
    <m/>
    <s v="SustainabilityDrive"/>
    <x v="254"/>
  </r>
  <r>
    <x v="4"/>
    <s v="Check out our latest image on facebook!"/>
    <n v="2072"/>
    <n v="532"/>
    <n v="71"/>
    <n v="37296"/>
    <n v="36467"/>
    <n v="25"/>
    <s v="#TeslaCoInnovation"/>
    <m/>
    <m/>
    <s v="SustainabilityDrive"/>
    <x v="255"/>
  </r>
  <r>
    <x v="5"/>
    <s v="Check out our latest text on youtube!"/>
    <n v="2076"/>
    <n v="195"/>
    <n v="104"/>
    <n v="33216"/>
    <n v="32244"/>
    <n v="51"/>
    <s v="#FutureOfDriving"/>
    <m/>
    <m/>
    <s v="SustainabilityDrive"/>
    <x v="256"/>
  </r>
  <r>
    <x v="1"/>
    <s v="Check out our latest reel on twitter!"/>
    <n v="3731"/>
    <n v="115"/>
    <n v="135"/>
    <n v="55965"/>
    <n v="55436"/>
    <n v="103"/>
    <s v="#TeslaCoInnovation"/>
    <m/>
    <m/>
    <s v="CybertruckLaunch"/>
    <x v="257"/>
  </r>
  <r>
    <x v="4"/>
    <s v="Check out our latest image on instagram!"/>
    <n v="3861"/>
    <n v="960"/>
    <n v="101"/>
    <n v="69498"/>
    <n v="68817"/>
    <n v="297"/>
    <s v="#TeslaCoInnovation"/>
    <m/>
    <m/>
    <s v="SustainabilityDrive"/>
    <x v="258"/>
  </r>
  <r>
    <x v="5"/>
    <s v="Check out our latest text on facebook!"/>
    <n v="1652"/>
    <n v="89"/>
    <n v="357"/>
    <n v="29736"/>
    <n v="28771"/>
    <n v="215"/>
    <s v="#TeslaCoInnovation"/>
    <m/>
    <m/>
    <s v="FSDUpdate"/>
    <x v="259"/>
  </r>
  <r>
    <x v="3"/>
    <s v="Check out our latest carousel on twitter!"/>
    <n v="3860"/>
    <n v="201"/>
    <n v="279"/>
    <n v="61760"/>
    <n v="61660"/>
    <n v="235"/>
    <s v="#TeslaCoInnovation"/>
    <m/>
    <m/>
    <s v="ModelYCampaign"/>
    <x v="260"/>
  </r>
  <r>
    <x v="0"/>
    <s v="Check out our latest story on youtube!"/>
    <n v="2070"/>
    <n v="275"/>
    <n v="386"/>
    <n v="39330"/>
    <n v="38627"/>
    <n v="114"/>
    <s v="#FutureOfDriving"/>
    <m/>
    <m/>
    <s v="SustainabilityDrive"/>
    <x v="261"/>
  </r>
  <r>
    <x v="1"/>
    <s v="Check out our latest reel on facebook!"/>
    <n v="3452"/>
    <n v="652"/>
    <n v="442"/>
    <n v="65588"/>
    <n v="65049"/>
    <n v="158"/>
    <s v="#FutureOfDriving"/>
    <m/>
    <m/>
    <s v="FSDUpdate"/>
    <x v="262"/>
  </r>
  <r>
    <x v="5"/>
    <s v="Check out our latest text on twitter!"/>
    <n v="3577"/>
    <n v="596"/>
    <n v="493"/>
    <n v="67963"/>
    <n v="67839"/>
    <n v="53"/>
    <s v="#TeslaCoInnovation"/>
    <m/>
    <m/>
    <s v="FSDUpdate"/>
    <x v="263"/>
  </r>
  <r>
    <x v="5"/>
    <s v="Check out our latest text on instagram!"/>
    <n v="3182"/>
    <n v="559"/>
    <n v="160"/>
    <n v="57276"/>
    <n v="56890"/>
    <n v="163"/>
    <s v="#FutureOfDriving"/>
    <m/>
    <m/>
    <s v="SustainabilityDrive"/>
    <x v="264"/>
  </r>
  <r>
    <x v="3"/>
    <s v="Check out our latest carousel on youtube!"/>
    <n v="4780"/>
    <n v="691"/>
    <n v="380"/>
    <n v="86040"/>
    <n v="85743"/>
    <n v="262"/>
    <s v="#FutureOfDriving"/>
    <m/>
    <m/>
    <s v="FSDUpdate"/>
    <x v="265"/>
  </r>
  <r>
    <x v="0"/>
    <s v="Check out our latest story on instagram!"/>
    <n v="3770"/>
    <n v="917"/>
    <n v="129"/>
    <n v="71630"/>
    <n v="71322"/>
    <n v="76"/>
    <s v="#FutureOfDriving"/>
    <m/>
    <m/>
    <s v="CybertruckLaunch"/>
    <x v="266"/>
  </r>
  <r>
    <x v="1"/>
    <s v="Check out our latest reel on youtube!"/>
    <n v="3774"/>
    <n v="239"/>
    <n v="39"/>
    <n v="60384"/>
    <n v="59490"/>
    <n v="241"/>
    <s v="#TeslaCoInnovation"/>
    <m/>
    <m/>
    <s v="FSDUpdate"/>
    <x v="267"/>
  </r>
  <r>
    <x v="1"/>
    <s v="Check out our latest reel on youtube!"/>
    <n v="3557"/>
    <n v="687"/>
    <n v="424"/>
    <n v="71140"/>
    <n v="70701"/>
    <n v="224"/>
    <s v="#EVRevolution"/>
    <s v="#TeslaCoInnovation"/>
    <m/>
    <s v="CybertruckLaunch"/>
    <x v="268"/>
  </r>
  <r>
    <x v="5"/>
    <s v="Check out our latest text on youtube!"/>
    <n v="3428"/>
    <n v="305"/>
    <n v="85"/>
    <n v="58276"/>
    <n v="58052"/>
    <n v="242"/>
    <s v="#EVRevolution"/>
    <s v="#BetterWithTesla"/>
    <m/>
    <s v="SustainabilityDrive"/>
    <x v="269"/>
  </r>
  <r>
    <x v="0"/>
    <s v="Check out our latest story on youtube!"/>
    <n v="4929"/>
    <n v="749"/>
    <n v="452"/>
    <n v="93651"/>
    <n v="92810"/>
    <n v="66"/>
    <s v="#EVRevolution"/>
    <m/>
    <m/>
    <s v="SustainabilityDrive"/>
    <x v="270"/>
  </r>
  <r>
    <x v="1"/>
    <s v="Check out our latest reel on twitter!"/>
    <n v="4782"/>
    <n v="721"/>
    <n v="82"/>
    <n v="86076"/>
    <n v="85339"/>
    <n v="19"/>
    <s v="#EVRevolution"/>
    <m/>
    <m/>
    <s v="CybertruckLaunch"/>
    <x v="271"/>
  </r>
  <r>
    <x v="5"/>
    <s v="Check out our latest text on facebook!"/>
    <n v="4213"/>
    <n v="253"/>
    <n v="434"/>
    <n v="75834"/>
    <n v="75437"/>
    <n v="272"/>
    <s v="#FutureOfDriving"/>
    <m/>
    <m/>
    <s v="SustainabilityDrive"/>
    <x v="272"/>
  </r>
  <r>
    <x v="0"/>
    <s v="Check out our latest story on facebook!"/>
    <n v="4126"/>
    <n v="426"/>
    <n v="486"/>
    <n v="78394"/>
    <n v="77798"/>
    <n v="88"/>
    <s v="#FutureOfDriving"/>
    <m/>
    <m/>
    <s v="SustainabilityDrive"/>
    <x v="273"/>
  </r>
  <r>
    <x v="1"/>
    <s v="Check out our latest reel on twitter!"/>
    <n v="4187"/>
    <n v="66"/>
    <n v="31"/>
    <n v="66992"/>
    <n v="66614"/>
    <n v="62"/>
    <s v="#FutureOfDriving"/>
    <m/>
    <m/>
    <m/>
    <x v="274"/>
  </r>
  <r>
    <x v="3"/>
    <s v="Check out our latest carousel on instagram!"/>
    <n v="4054"/>
    <n v="488"/>
    <n v="373"/>
    <n v="77026"/>
    <n v="76881"/>
    <n v="25"/>
    <s v="#TeslaCoInnovation"/>
    <m/>
    <m/>
    <s v="CybertruckLaunch"/>
    <x v="275"/>
  </r>
  <r>
    <x v="3"/>
    <s v="Check out our latest carousel on facebook!"/>
    <n v="4712"/>
    <n v="568"/>
    <n v="127"/>
    <n v="84816"/>
    <n v="84691"/>
    <n v="100"/>
    <s v="#EVRevolution"/>
    <m/>
    <m/>
    <s v="FSDUpdate"/>
    <x v="276"/>
  </r>
  <r>
    <x v="3"/>
    <s v="Check out our latest carousel on youtube!"/>
    <n v="4295"/>
    <n v="853"/>
    <n v="325"/>
    <n v="85900"/>
    <n v="85788"/>
    <n v="290"/>
    <s v="#TeslaCoInnovation"/>
    <m/>
    <m/>
    <s v="SustainabilityDrive"/>
    <x v="277"/>
  </r>
  <r>
    <x v="4"/>
    <s v="Check out our latest image on youtube!"/>
    <n v="3166"/>
    <n v="90"/>
    <n v="341"/>
    <n v="56988"/>
    <n v="56125"/>
    <n v="135"/>
    <s v="#EVRevolution"/>
    <m/>
    <m/>
    <s v="ModelYCampaign"/>
    <x v="278"/>
  </r>
  <r>
    <x v="4"/>
    <s v="Check out our latest image on facebook!"/>
    <n v="4606"/>
    <n v="931"/>
    <n v="230"/>
    <n v="92120"/>
    <n v="91440"/>
    <n v="56"/>
    <s v="#TeslaCoInnovation"/>
    <m/>
    <m/>
    <m/>
    <x v="279"/>
  </r>
  <r>
    <x v="1"/>
    <s v="Check out our latest reel on facebook!"/>
    <n v="3718"/>
    <n v="385"/>
    <n v="310"/>
    <n v="70642"/>
    <n v="69749"/>
    <n v="233"/>
    <s v="#TeslaCoInnovation"/>
    <m/>
    <m/>
    <s v="ModelYCampaign"/>
    <x v="280"/>
  </r>
  <r>
    <x v="4"/>
    <s v="Check out our latest image on youtube!"/>
    <n v="4832"/>
    <n v="893"/>
    <n v="10"/>
    <n v="91808"/>
    <n v="91296"/>
    <n v="182"/>
    <s v="#TeslaCoInnovation"/>
    <m/>
    <m/>
    <m/>
    <x v="281"/>
  </r>
  <r>
    <x v="4"/>
    <s v="Check out our latest image on twitter!"/>
    <n v="2493"/>
    <n v="97"/>
    <n v="44"/>
    <n v="42381"/>
    <n v="41991"/>
    <n v="242"/>
    <s v="#TeslaCoInnovation"/>
    <s v="#AnytimeIsTeslaTime"/>
    <m/>
    <s v="SustainabilityDrive"/>
    <x v="282"/>
  </r>
  <r>
    <x v="4"/>
    <s v="Check out our latest image on twitter!"/>
    <n v="3338"/>
    <n v="277"/>
    <n v="118"/>
    <n v="60084"/>
    <n v="59842"/>
    <n v="252"/>
    <s v="#TeslaCoInnovation"/>
    <m/>
    <m/>
    <m/>
    <x v="283"/>
  </r>
  <r>
    <x v="4"/>
    <s v="Check out our latest image on youtube!"/>
    <n v="4905"/>
    <n v="845"/>
    <n v="129"/>
    <n v="98100"/>
    <n v="97772"/>
    <n v="279"/>
    <s v="#TeslaCoInnovation"/>
    <m/>
    <m/>
    <s v="ModelYCampaign"/>
    <x v="284"/>
  </r>
  <r>
    <x v="3"/>
    <s v="Check out our latest carousel on twitter!"/>
    <n v="3128"/>
    <n v="211"/>
    <n v="197"/>
    <n v="59432"/>
    <n v="59182"/>
    <n v="238"/>
    <s v="#EVRevolution"/>
    <m/>
    <m/>
    <m/>
    <x v="285"/>
  </r>
  <r>
    <x v="2"/>
    <s v="Check out our latest video on facebook!"/>
    <n v="3888"/>
    <n v="604"/>
    <n v="128"/>
    <n v="77760"/>
    <n v="77167"/>
    <n v="20"/>
    <s v="#FutureOfDriving"/>
    <m/>
    <m/>
    <s v="CybertruckLaunch"/>
    <x v="286"/>
  </r>
  <r>
    <x v="2"/>
    <s v="Check out our latest video on twitter!"/>
    <n v="3440"/>
    <n v="13"/>
    <n v="20"/>
    <n v="58480"/>
    <n v="58146"/>
    <n v="210"/>
    <s v="#TeslaCoInnovation"/>
    <s v="#SmoothLikeNitroTesla"/>
    <m/>
    <s v="SustainabilityDrive"/>
    <x v="287"/>
  </r>
  <r>
    <x v="4"/>
    <s v="Check out our latest image on facebook!"/>
    <n v="4303"/>
    <n v="451"/>
    <n v="286"/>
    <n v="86060"/>
    <n v="85823"/>
    <n v="14"/>
    <s v="#TeslaCoInnovation"/>
    <m/>
    <m/>
    <s v="FSDUpdate"/>
    <x v="288"/>
  </r>
  <r>
    <x v="0"/>
    <s v="Check out our latest story on youtube!"/>
    <n v="1509"/>
    <n v="88"/>
    <n v="163"/>
    <n v="30180"/>
    <n v="29689"/>
    <n v="119"/>
    <s v="#EVRevolution"/>
    <m/>
    <m/>
    <s v="ModelYCampaign"/>
    <x v="289"/>
  </r>
  <r>
    <x v="1"/>
    <s v="Check out our latest reel on twitter!"/>
    <n v="3367"/>
    <n v="302"/>
    <n v="57"/>
    <n v="63973"/>
    <n v="63789"/>
    <n v="157"/>
    <s v="#FutureOfDriving"/>
    <m/>
    <m/>
    <s v="ModelYCampaign"/>
    <x v="290"/>
  </r>
  <r>
    <x v="3"/>
    <s v="Check out our latest carousel on youtube!"/>
    <n v="2143"/>
    <n v="12"/>
    <n v="204"/>
    <n v="40717"/>
    <n v="40125"/>
    <n v="248"/>
    <s v="#EVRevolution"/>
    <m/>
    <m/>
    <s v="ModelYCampaign"/>
    <x v="291"/>
  </r>
  <r>
    <x v="2"/>
    <s v="Check out our latest video on instagram!"/>
    <n v="3095"/>
    <n v="39"/>
    <n v="78"/>
    <n v="55710"/>
    <n v="54808"/>
    <n v="93"/>
    <s v="#EVRevolution"/>
    <m/>
    <m/>
    <m/>
    <x v="292"/>
  </r>
  <r>
    <x v="3"/>
    <s v="Check out our latest carousel on instagram!"/>
    <n v="3773"/>
    <n v="299"/>
    <n v="38"/>
    <n v="71687"/>
    <n v="71447"/>
    <n v="286"/>
    <s v="#FutureOfDriving"/>
    <m/>
    <m/>
    <s v="CybertruckLaunch"/>
    <x v="293"/>
  </r>
  <r>
    <x v="3"/>
    <s v="Check out our latest carousel on twitter!"/>
    <n v="4672"/>
    <n v="325"/>
    <n v="32"/>
    <n v="88768"/>
    <n v="87833"/>
    <n v="118"/>
    <s v="#EVRevolution"/>
    <m/>
    <m/>
    <m/>
    <x v="294"/>
  </r>
  <r>
    <x v="3"/>
    <s v="Check out our latest carousel on instagram!"/>
    <n v="1878"/>
    <n v="62"/>
    <n v="179"/>
    <n v="37560"/>
    <n v="36874"/>
    <n v="142"/>
    <s v="#TeslaCoInnovation"/>
    <m/>
    <m/>
    <s v="SustainabilityDrive"/>
    <x v="295"/>
  </r>
  <r>
    <x v="5"/>
    <s v="Check out our latest text on youtube!"/>
    <n v="1963"/>
    <n v="213"/>
    <n v="19"/>
    <n v="39260"/>
    <n v="38771"/>
    <n v="145"/>
    <s v="#FutureOfDriving"/>
    <m/>
    <m/>
    <m/>
    <x v="296"/>
  </r>
  <r>
    <x v="1"/>
    <s v="Check out our latest reel on youtube!"/>
    <n v="2795"/>
    <n v="105"/>
    <n v="49"/>
    <n v="53105"/>
    <n v="52307"/>
    <n v="204"/>
    <s v="#TeslaCoInnovation"/>
    <m/>
    <m/>
    <s v="FSDUpdate"/>
    <x v="297"/>
  </r>
  <r>
    <x v="2"/>
    <s v="Check out our latest video on facebook!"/>
    <n v="3798"/>
    <n v="31"/>
    <n v="279"/>
    <n v="75960"/>
    <n v="75813"/>
    <n v="266"/>
    <s v="#TeslaCoInnovation"/>
    <m/>
    <m/>
    <s v="CybertruckLaunch"/>
    <x v="298"/>
  </r>
  <r>
    <x v="3"/>
    <s v="Check out our latest carousel on twitter!"/>
    <n v="4507"/>
    <n v="217"/>
    <n v="13"/>
    <n v="90140"/>
    <n v="89591"/>
    <n v="125"/>
    <s v="#FutureOfDriving"/>
    <m/>
    <m/>
    <s v="FSDUpdate"/>
    <x v="299"/>
  </r>
  <r>
    <x v="6"/>
    <m/>
    <m/>
    <m/>
    <m/>
    <m/>
    <m/>
    <m/>
    <m/>
    <m/>
    <m/>
    <m/>
    <x v="300"/>
  </r>
  <r>
    <x v="6"/>
    <m/>
    <m/>
    <m/>
    <m/>
    <m/>
    <m/>
    <m/>
    <m/>
    <m/>
    <m/>
    <m/>
    <x v="300"/>
  </r>
  <r>
    <x v="6"/>
    <m/>
    <m/>
    <m/>
    <m/>
    <m/>
    <m/>
    <m/>
    <m/>
    <m/>
    <m/>
    <m/>
    <x v="300"/>
  </r>
  <r>
    <x v="6"/>
    <m/>
    <m/>
    <m/>
    <m/>
    <m/>
    <m/>
    <m/>
    <m/>
    <m/>
    <m/>
    <m/>
    <x v="3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208">
  <r>
    <x v="0"/>
    <x v="0"/>
    <n v="1135"/>
    <n v="88"/>
    <n v="344084"/>
    <n v="0.30428616268120573"/>
    <n v="8.06"/>
  </r>
  <r>
    <x v="0"/>
    <x v="1"/>
    <n v="1312"/>
    <n v="310"/>
    <n v="42654"/>
    <n v="2.3491348994232664"/>
    <n v="4.9800000000000004"/>
  </r>
  <r>
    <x v="0"/>
    <x v="2"/>
    <n v="584"/>
    <n v="169"/>
    <n v="146834"/>
    <n v="0.28263208793603661"/>
    <n v="8.31"/>
  </r>
  <r>
    <x v="0"/>
    <x v="3"/>
    <n v="1535"/>
    <n v="445"/>
    <n v="395536"/>
    <n v="0.27557542170624166"/>
    <n v="4.1100000000000003"/>
  </r>
  <r>
    <x v="1"/>
    <x v="0"/>
    <n v="656"/>
    <n v="139"/>
    <n v="49157"/>
    <n v="1.0517322049758935"/>
    <n v="9.0500000000000007"/>
  </r>
  <r>
    <x v="1"/>
    <x v="1"/>
    <n v="1697"/>
    <n v="414"/>
    <n v="316555"/>
    <n v="0.40530081660374973"/>
    <n v="2.37"/>
  </r>
  <r>
    <x v="1"/>
    <x v="2"/>
    <n v="436"/>
    <n v="250"/>
    <n v="254347"/>
    <n v="7.3128442639386351E-2"/>
    <n v="4.01"/>
  </r>
  <r>
    <x v="1"/>
    <x v="3"/>
    <n v="1197"/>
    <n v="203"/>
    <n v="413878"/>
    <n v="0.24016739232334167"/>
    <n v="3.16"/>
  </r>
  <r>
    <x v="2"/>
    <x v="0"/>
    <n v="1048"/>
    <n v="155"/>
    <n v="456946"/>
    <n v="0.19542790614208244"/>
    <n v="2.46"/>
  </r>
  <r>
    <x v="2"/>
    <x v="1"/>
    <n v="1753"/>
    <n v="371"/>
    <n v="169496"/>
    <n v="0.8153584745362723"/>
    <n v="8.11"/>
  </r>
  <r>
    <x v="2"/>
    <x v="2"/>
    <n v="1335"/>
    <n v="40"/>
    <n v="122732"/>
    <n v="1.0551445425805821"/>
    <n v="8.19"/>
  </r>
  <r>
    <x v="2"/>
    <x v="3"/>
    <n v="403"/>
    <n v="66"/>
    <n v="382851"/>
    <n v="8.8023800381871797E-2"/>
    <n v="3.49"/>
  </r>
  <r>
    <x v="3"/>
    <x v="0"/>
    <n v="911"/>
    <n v="282"/>
    <n v="35664"/>
    <n v="1.7636832660385824"/>
    <n v="6.92"/>
  </r>
  <r>
    <x v="3"/>
    <x v="1"/>
    <n v="1779"/>
    <n v="109"/>
    <n v="26295"/>
    <n v="6.3510173036698996"/>
    <n v="9.1199999999999992"/>
  </r>
  <r>
    <x v="3"/>
    <x v="2"/>
    <n v="1238"/>
    <n v="403"/>
    <n v="298421"/>
    <n v="0.27980604582117208"/>
    <n v="3.5"/>
  </r>
  <r>
    <x v="3"/>
    <x v="3"/>
    <n v="308"/>
    <n v="431"/>
    <n v="426184"/>
    <n v="-2.8860773750305036E-2"/>
    <n v="2.62"/>
  </r>
  <r>
    <x v="4"/>
    <x v="0"/>
    <n v="226"/>
    <n v="445"/>
    <n v="419447"/>
    <n v="-5.2211602419375981E-2"/>
    <n v="9.36"/>
  </r>
  <r>
    <x v="4"/>
    <x v="1"/>
    <n v="505"/>
    <n v="441"/>
    <n v="220020"/>
    <n v="2.9088264703208796E-2"/>
    <n v="4.4800000000000004"/>
  </r>
  <r>
    <x v="4"/>
    <x v="2"/>
    <n v="1420"/>
    <n v="63"/>
    <n v="315305"/>
    <n v="0.4303769366169265"/>
    <n v="6.19"/>
  </r>
  <r>
    <x v="4"/>
    <x v="3"/>
    <n v="144"/>
    <n v="53"/>
    <n v="113678"/>
    <n v="8.0050669434719113E-2"/>
    <n v="8.7200000000000006"/>
  </r>
  <r>
    <x v="5"/>
    <x v="0"/>
    <n v="1757"/>
    <n v="85"/>
    <n v="58223"/>
    <n v="2.8717173625543171"/>
    <n v="8.74"/>
  </r>
  <r>
    <x v="5"/>
    <x v="1"/>
    <n v="350"/>
    <n v="41"/>
    <n v="251694"/>
    <n v="0.12276812319721568"/>
    <n v="1.91"/>
  </r>
  <r>
    <x v="5"/>
    <x v="2"/>
    <n v="987"/>
    <n v="440"/>
    <n v="389810"/>
    <n v="0.140324773607655"/>
    <n v="4.66"/>
  </r>
  <r>
    <x v="5"/>
    <x v="3"/>
    <n v="883"/>
    <n v="369"/>
    <n v="233694"/>
    <n v="0.21994574101175038"/>
    <n v="2.88"/>
  </r>
  <r>
    <x v="6"/>
    <x v="0"/>
    <n v="1960"/>
    <n v="115"/>
    <n v="154169"/>
    <n v="1.1967386439556591"/>
    <n v="3.74"/>
  </r>
  <r>
    <x v="6"/>
    <x v="1"/>
    <n v="170"/>
    <n v="334"/>
    <n v="334626"/>
    <n v="-4.9009939454794309E-2"/>
    <n v="6.44"/>
  </r>
  <r>
    <x v="6"/>
    <x v="2"/>
    <n v="704"/>
    <n v="275"/>
    <n v="226002"/>
    <n v="0.18982132901478749"/>
    <n v="8.56"/>
  </r>
  <r>
    <x v="6"/>
    <x v="3"/>
    <n v="224"/>
    <n v="64"/>
    <n v="156683"/>
    <n v="0.10211701333265255"/>
    <n v="4.5599999999999996"/>
  </r>
  <r>
    <x v="7"/>
    <x v="0"/>
    <n v="508"/>
    <n v="349"/>
    <n v="473812"/>
    <n v="3.3557613568250697E-2"/>
    <n v="7.88"/>
  </r>
  <r>
    <x v="7"/>
    <x v="1"/>
    <n v="1391"/>
    <n v="430"/>
    <n v="295032"/>
    <n v="0.32572737872501967"/>
    <n v="7.86"/>
  </r>
  <r>
    <x v="7"/>
    <x v="2"/>
    <n v="1701"/>
    <n v="385"/>
    <n v="198278"/>
    <n v="0.66371458255580551"/>
    <n v="5.34"/>
  </r>
  <r>
    <x v="7"/>
    <x v="3"/>
    <n v="804"/>
    <n v="487"/>
    <n v="306564"/>
    <n v="0.10340418313957282"/>
    <n v="5.52"/>
  </r>
  <r>
    <x v="8"/>
    <x v="0"/>
    <n v="653"/>
    <n v="112"/>
    <n v="23664"/>
    <n v="2.2861730899256254"/>
    <n v="4.05"/>
  </r>
  <r>
    <x v="8"/>
    <x v="1"/>
    <n v="160"/>
    <n v="478"/>
    <n v="435034"/>
    <n v="-7.309773488968678E-2"/>
    <n v="7.73"/>
  </r>
  <r>
    <x v="8"/>
    <x v="2"/>
    <n v="1756"/>
    <n v="261"/>
    <n v="287574"/>
    <n v="0.51986619096302167"/>
    <n v="4.3600000000000003"/>
  </r>
  <r>
    <x v="8"/>
    <x v="3"/>
    <n v="576"/>
    <n v="101"/>
    <n v="62499"/>
    <n v="0.76001216019456308"/>
    <n v="3.48"/>
  </r>
  <r>
    <x v="9"/>
    <x v="0"/>
    <n v="645"/>
    <n v="293"/>
    <n v="437968"/>
    <n v="8.0371168669857163E-2"/>
    <n v="7.83"/>
  </r>
  <r>
    <x v="9"/>
    <x v="1"/>
    <n v="214"/>
    <n v="411"/>
    <n v="125034"/>
    <n v="-0.15755714445670779"/>
    <n v="6.11"/>
  </r>
  <r>
    <x v="9"/>
    <x v="2"/>
    <n v="826"/>
    <n v="498"/>
    <n v="449994"/>
    <n v="7.2889860753698937E-2"/>
    <n v="9.43"/>
  </r>
  <r>
    <x v="9"/>
    <x v="3"/>
    <n v="460"/>
    <n v="141"/>
    <n v="320650"/>
    <n v="9.9485420240137221E-2"/>
    <n v="4.04"/>
  </r>
  <r>
    <x v="10"/>
    <x v="0"/>
    <n v="1528"/>
    <n v="203"/>
    <n v="489188"/>
    <n v="0.27085701202809553"/>
    <n v="6.23"/>
  </r>
  <r>
    <x v="10"/>
    <x v="1"/>
    <n v="1534"/>
    <n v="200"/>
    <n v="307612"/>
    <n v="0.43366318609156984"/>
    <n v="6.01"/>
  </r>
  <r>
    <x v="10"/>
    <x v="2"/>
    <n v="485"/>
    <n v="448"/>
    <n v="434883"/>
    <n v="8.5080354946042956E-3"/>
    <n v="8.5500000000000007"/>
  </r>
  <r>
    <x v="10"/>
    <x v="3"/>
    <n v="1210"/>
    <n v="178"/>
    <n v="102042"/>
    <n v="1.011348268360087"/>
    <n v="5.42"/>
  </r>
  <r>
    <x v="11"/>
    <x v="0"/>
    <n v="215"/>
    <n v="139"/>
    <n v="325444"/>
    <n v="2.335271198731579E-2"/>
    <n v="3.25"/>
  </r>
  <r>
    <x v="11"/>
    <x v="1"/>
    <n v="1078"/>
    <n v="20"/>
    <n v="183924"/>
    <n v="0.57523759813836151"/>
    <n v="8.84"/>
  </r>
  <r>
    <x v="11"/>
    <x v="2"/>
    <n v="1751"/>
    <n v="86"/>
    <n v="188655"/>
    <n v="0.88256340939810773"/>
    <n v="7.24"/>
  </r>
  <r>
    <x v="11"/>
    <x v="3"/>
    <n v="221"/>
    <n v="31"/>
    <n v="87443"/>
    <n v="0.21728440241071326"/>
    <n v="6.19"/>
  </r>
  <r>
    <x v="12"/>
    <x v="0"/>
    <n v="1685"/>
    <n v="76"/>
    <n v="453799"/>
    <n v="0.35456226214689768"/>
    <n v="5.71"/>
  </r>
  <r>
    <x v="12"/>
    <x v="1"/>
    <n v="248"/>
    <n v="211"/>
    <n v="379380"/>
    <n v="9.7527544941747053E-3"/>
    <n v="9.0399999999999991"/>
  </r>
  <r>
    <x v="12"/>
    <x v="2"/>
    <n v="1300"/>
    <n v="71"/>
    <n v="186454"/>
    <n v="0.65914381026955704"/>
    <n v="3.91"/>
  </r>
  <r>
    <x v="12"/>
    <x v="3"/>
    <n v="422"/>
    <n v="394"/>
    <n v="239044"/>
    <n v="1.1713324743561855E-2"/>
    <n v="7.83"/>
  </r>
  <r>
    <x v="13"/>
    <x v="0"/>
    <n v="1429"/>
    <n v="182"/>
    <n v="101332"/>
    <n v="1.2306082974775983"/>
    <n v="7.16"/>
  </r>
  <r>
    <x v="13"/>
    <x v="1"/>
    <n v="1520"/>
    <n v="475"/>
    <n v="496982"/>
    <n v="0.21026918479944948"/>
    <n v="6.41"/>
  </r>
  <r>
    <x v="13"/>
    <x v="2"/>
    <n v="557"/>
    <n v="360"/>
    <n v="318779"/>
    <n v="6.1798299135137513E-2"/>
    <n v="8.02"/>
  </r>
  <r>
    <x v="13"/>
    <x v="3"/>
    <n v="728"/>
    <n v="395"/>
    <n v="370971"/>
    <n v="8.9764429025449427E-2"/>
    <n v="3.86"/>
  </r>
  <r>
    <x v="14"/>
    <x v="0"/>
    <n v="1592"/>
    <n v="20"/>
    <n v="378054"/>
    <n v="0.41581361392816901"/>
    <n v="9.09"/>
  </r>
  <r>
    <x v="14"/>
    <x v="1"/>
    <n v="1842"/>
    <n v="414"/>
    <n v="307524"/>
    <n v="0.46435400163889645"/>
    <n v="1.76"/>
  </r>
  <r>
    <x v="14"/>
    <x v="2"/>
    <n v="751"/>
    <n v="491"/>
    <n v="434047"/>
    <n v="5.990134708914012E-2"/>
    <n v="9.24"/>
  </r>
  <r>
    <x v="14"/>
    <x v="3"/>
    <n v="1409"/>
    <n v="309"/>
    <n v="64583"/>
    <n v="1.703234597339857"/>
    <n v="8.99"/>
  </r>
  <r>
    <x v="15"/>
    <x v="0"/>
    <n v="778"/>
    <n v="401"/>
    <n v="50793"/>
    <n v="0.74222825979957874"/>
    <n v="3.4"/>
  </r>
  <r>
    <x v="15"/>
    <x v="1"/>
    <n v="443"/>
    <n v="345"/>
    <n v="474162"/>
    <n v="2.0668041724136478E-2"/>
    <n v="9.1999999999999993"/>
  </r>
  <r>
    <x v="15"/>
    <x v="2"/>
    <n v="1472"/>
    <n v="347"/>
    <n v="392355"/>
    <n v="0.2867301296020186"/>
    <n v="8.59"/>
  </r>
  <r>
    <x v="15"/>
    <x v="3"/>
    <n v="123"/>
    <n v="155"/>
    <n v="119934"/>
    <n v="-2.6681341404439108E-2"/>
    <n v="3.5"/>
  </r>
  <r>
    <x v="16"/>
    <x v="0"/>
    <n v="817"/>
    <n v="151"/>
    <n v="422625"/>
    <n v="0.15758651286601597"/>
    <n v="2.36"/>
  </r>
  <r>
    <x v="16"/>
    <x v="1"/>
    <n v="198"/>
    <n v="217"/>
    <n v="239753"/>
    <n v="-7.924822629956663E-3"/>
    <n v="7.36"/>
  </r>
  <r>
    <x v="16"/>
    <x v="2"/>
    <n v="1911"/>
    <n v="231"/>
    <n v="268516"/>
    <n v="0.62566104068286432"/>
    <n v="8.5500000000000007"/>
  </r>
  <r>
    <x v="16"/>
    <x v="3"/>
    <n v="1218"/>
    <n v="212"/>
    <n v="63177"/>
    <n v="1.592351646960128"/>
    <n v="8.1300000000000008"/>
  </r>
  <r>
    <x v="17"/>
    <x v="0"/>
    <n v="1433"/>
    <n v="408"/>
    <n v="370269"/>
    <n v="0.27682576721248608"/>
    <n v="3.3"/>
  </r>
  <r>
    <x v="17"/>
    <x v="1"/>
    <n v="250"/>
    <n v="429"/>
    <n v="453423"/>
    <n v="-3.9477485703195474E-2"/>
    <n v="1.77"/>
  </r>
  <r>
    <x v="17"/>
    <x v="2"/>
    <n v="752"/>
    <n v="153"/>
    <n v="64906"/>
    <n v="0.92287307798970819"/>
    <n v="2.09"/>
  </r>
  <r>
    <x v="17"/>
    <x v="3"/>
    <n v="1918"/>
    <n v="212"/>
    <n v="94360"/>
    <n v="1.8079694785926241"/>
    <n v="7.36"/>
  </r>
  <r>
    <x v="18"/>
    <x v="0"/>
    <n v="1939"/>
    <n v="67"/>
    <n v="187183"/>
    <n v="1.000090820213374"/>
    <n v="6.25"/>
  </r>
  <r>
    <x v="18"/>
    <x v="1"/>
    <n v="1929"/>
    <n v="267"/>
    <n v="379363"/>
    <n v="0.43810281972675247"/>
    <n v="1.75"/>
  </r>
  <r>
    <x v="18"/>
    <x v="2"/>
    <n v="437"/>
    <n v="330"/>
    <n v="476486"/>
    <n v="2.2456063766826309E-2"/>
    <n v="4.97"/>
  </r>
  <r>
    <x v="18"/>
    <x v="3"/>
    <n v="307"/>
    <n v="189"/>
    <n v="117767"/>
    <n v="0.10019784829366461"/>
    <n v="9.3000000000000007"/>
  </r>
  <r>
    <x v="19"/>
    <x v="0"/>
    <n v="1527"/>
    <n v="303"/>
    <n v="388555"/>
    <n v="0.31501331857780751"/>
    <n v="8.9"/>
  </r>
  <r>
    <x v="19"/>
    <x v="1"/>
    <n v="643"/>
    <n v="358"/>
    <n v="157599"/>
    <n v="0.18083871090552606"/>
    <n v="3.88"/>
  </r>
  <r>
    <x v="19"/>
    <x v="2"/>
    <n v="201"/>
    <n v="221"/>
    <n v="309772"/>
    <n v="-6.4563614529395824E-3"/>
    <n v="5.9"/>
  </r>
  <r>
    <x v="19"/>
    <x v="3"/>
    <n v="414"/>
    <n v="47"/>
    <n v="199178"/>
    <n v="0.18425729749269498"/>
    <n v="1.53"/>
  </r>
  <r>
    <x v="20"/>
    <x v="0"/>
    <n v="703"/>
    <n v="441"/>
    <n v="357089"/>
    <n v="7.3371064356504964E-2"/>
    <n v="6.5"/>
  </r>
  <r>
    <x v="20"/>
    <x v="1"/>
    <n v="508"/>
    <n v="69"/>
    <n v="23492"/>
    <n v="1.8687212668142346"/>
    <n v="3.16"/>
  </r>
  <r>
    <x v="20"/>
    <x v="2"/>
    <n v="697"/>
    <n v="61"/>
    <n v="258287"/>
    <n v="0.24623771231227276"/>
    <n v="8.25"/>
  </r>
  <r>
    <x v="20"/>
    <x v="3"/>
    <n v="1707"/>
    <n v="223"/>
    <n v="256910"/>
    <n v="0.57763419096181545"/>
    <n v="5.41"/>
  </r>
  <r>
    <x v="21"/>
    <x v="0"/>
    <n v="642"/>
    <n v="66"/>
    <n v="346522"/>
    <n v="0.166223212379012"/>
    <n v="5.85"/>
  </r>
  <r>
    <x v="21"/>
    <x v="1"/>
    <n v="859"/>
    <n v="473"/>
    <n v="209987"/>
    <n v="0.18382090319876945"/>
    <n v="4.46"/>
  </r>
  <r>
    <x v="21"/>
    <x v="2"/>
    <n v="191"/>
    <n v="154"/>
    <n v="240550"/>
    <n v="1.5381417584701726E-2"/>
    <n v="5.22"/>
  </r>
  <r>
    <x v="21"/>
    <x v="3"/>
    <n v="1814"/>
    <n v="157"/>
    <n v="305827"/>
    <n v="0.54180958515762179"/>
    <n v="1.99"/>
  </r>
  <r>
    <x v="22"/>
    <x v="0"/>
    <n v="1466"/>
    <n v="69"/>
    <n v="54935"/>
    <n v="2.5430053699827071"/>
    <n v="6.85"/>
  </r>
  <r>
    <x v="22"/>
    <x v="1"/>
    <n v="947"/>
    <n v="407"/>
    <n v="319186"/>
    <n v="0.16918035252172714"/>
    <n v="3.32"/>
  </r>
  <r>
    <x v="22"/>
    <x v="2"/>
    <n v="1821"/>
    <n v="218"/>
    <n v="439080"/>
    <n v="0.36508153411678962"/>
    <n v="5.68"/>
  </r>
  <r>
    <x v="22"/>
    <x v="3"/>
    <n v="1507"/>
    <n v="463"/>
    <n v="258944"/>
    <n v="0.40317597627286211"/>
    <n v="6.08"/>
  </r>
  <r>
    <x v="23"/>
    <x v="0"/>
    <n v="1075"/>
    <n v="173"/>
    <n v="51395"/>
    <n v="1.7550345364335054"/>
    <n v="4.66"/>
  </r>
  <r>
    <x v="23"/>
    <x v="1"/>
    <n v="171"/>
    <n v="277"/>
    <n v="309483"/>
    <n v="-3.4250669665215859E-2"/>
    <n v="8.6999999999999993"/>
  </r>
  <r>
    <x v="23"/>
    <x v="2"/>
    <n v="1487"/>
    <n v="337"/>
    <n v="87305"/>
    <n v="1.3172212358971422"/>
    <n v="2.46"/>
  </r>
  <r>
    <x v="23"/>
    <x v="3"/>
    <n v="454"/>
    <n v="105"/>
    <n v="121091"/>
    <n v="0.28821299683708945"/>
    <n v="7.97"/>
  </r>
  <r>
    <x v="24"/>
    <x v="0"/>
    <n v="187"/>
    <n v="236"/>
    <n v="51087"/>
    <n v="-9.5914811987394058E-2"/>
    <n v="9.41"/>
  </r>
  <r>
    <x v="24"/>
    <x v="1"/>
    <n v="513"/>
    <n v="441"/>
    <n v="338847"/>
    <n v="2.124852809675163E-2"/>
    <n v="2.68"/>
  </r>
  <r>
    <x v="24"/>
    <x v="2"/>
    <n v="628"/>
    <n v="183"/>
    <n v="487523"/>
    <n v="9.1277744844858608E-2"/>
    <n v="7.32"/>
  </r>
  <r>
    <x v="24"/>
    <x v="3"/>
    <n v="278"/>
    <n v="218"/>
    <n v="301695"/>
    <n v="1.9887634863023914E-2"/>
    <n v="4.68"/>
  </r>
  <r>
    <x v="25"/>
    <x v="0"/>
    <n v="1854"/>
    <n v="161"/>
    <n v="282466"/>
    <n v="0.59936417126309005"/>
    <n v="5.17"/>
  </r>
  <r>
    <x v="25"/>
    <x v="1"/>
    <n v="1710"/>
    <n v="378"/>
    <n v="336661"/>
    <n v="0.39565022381564841"/>
    <n v="6.2"/>
  </r>
  <r>
    <x v="25"/>
    <x v="2"/>
    <n v="330"/>
    <n v="232"/>
    <n v="88455"/>
    <n v="0.11079079758069074"/>
    <n v="2.69"/>
  </r>
  <r>
    <x v="25"/>
    <x v="3"/>
    <n v="1293"/>
    <n v="408"/>
    <n v="62535"/>
    <n v="1.4152074838090669"/>
    <n v="8.9"/>
  </r>
  <r>
    <x v="26"/>
    <x v="0"/>
    <n v="1696"/>
    <n v="71"/>
    <n v="421957"/>
    <n v="0.38511033114748661"/>
    <n v="3.79"/>
  </r>
  <r>
    <x v="26"/>
    <x v="1"/>
    <n v="1902"/>
    <n v="196"/>
    <n v="470269"/>
    <n v="0.36277109484146308"/>
    <n v="4.79"/>
  </r>
  <r>
    <x v="26"/>
    <x v="2"/>
    <n v="1441"/>
    <n v="268"/>
    <n v="309904"/>
    <n v="0.37850431101244258"/>
    <n v="6.37"/>
  </r>
  <r>
    <x v="26"/>
    <x v="3"/>
    <n v="452"/>
    <n v="161"/>
    <n v="221274"/>
    <n v="0.13151115811166245"/>
    <n v="2.65"/>
  </r>
  <r>
    <x v="27"/>
    <x v="0"/>
    <n v="1494"/>
    <n v="375"/>
    <n v="220616"/>
    <n v="0.5072161583928636"/>
    <n v="1.81"/>
  </r>
  <r>
    <x v="27"/>
    <x v="1"/>
    <n v="1514"/>
    <n v="141"/>
    <n v="35842"/>
    <n v="3.8307014117515763"/>
    <n v="7.47"/>
  </r>
  <r>
    <x v="27"/>
    <x v="2"/>
    <n v="1937"/>
    <n v="210"/>
    <n v="20607"/>
    <n v="8.3806473528412688"/>
    <n v="4.2"/>
  </r>
  <r>
    <x v="27"/>
    <x v="3"/>
    <n v="736"/>
    <n v="163"/>
    <n v="451894"/>
    <n v="0.12679964770499277"/>
    <n v="5.43"/>
  </r>
  <r>
    <x v="28"/>
    <x v="0"/>
    <n v="1502"/>
    <n v="70"/>
    <n v="465553"/>
    <n v="0.30759118725472717"/>
    <n v="3.32"/>
  </r>
  <r>
    <x v="28"/>
    <x v="1"/>
    <n v="1623"/>
    <n v="246"/>
    <n v="415815"/>
    <n v="0.33115688467227011"/>
    <n v="8.11"/>
  </r>
  <r>
    <x v="28"/>
    <x v="2"/>
    <n v="1592"/>
    <n v="233"/>
    <n v="327183"/>
    <n v="0.41536387893013998"/>
    <n v="6.66"/>
  </r>
  <r>
    <x v="28"/>
    <x v="3"/>
    <n v="1004"/>
    <n v="128"/>
    <n v="488901"/>
    <n v="0.17917737946946316"/>
    <n v="8.09"/>
  </r>
  <r>
    <x v="29"/>
    <x v="0"/>
    <n v="1092"/>
    <n v="408"/>
    <n v="280795"/>
    <n v="0.24359408109118752"/>
    <n v="8.44"/>
  </r>
  <r>
    <x v="29"/>
    <x v="1"/>
    <n v="1155"/>
    <n v="425"/>
    <n v="93347"/>
    <n v="0.78202834584935776"/>
    <n v="2.02"/>
  </r>
  <r>
    <x v="29"/>
    <x v="2"/>
    <n v="1137"/>
    <n v="226"/>
    <n v="81119"/>
    <n v="1.123041457611657"/>
    <n v="7.74"/>
  </r>
  <r>
    <x v="29"/>
    <x v="3"/>
    <n v="1900"/>
    <n v="311"/>
    <n v="25177"/>
    <n v="6.3113158835445047"/>
    <n v="2.89"/>
  </r>
  <r>
    <x v="30"/>
    <x v="0"/>
    <n v="1814"/>
    <n v="49"/>
    <n v="140804"/>
    <n v="1.2535155251271271"/>
    <n v="1.76"/>
  </r>
  <r>
    <x v="30"/>
    <x v="1"/>
    <n v="1980"/>
    <n v="204"/>
    <n v="379431"/>
    <n v="0.46806929323118035"/>
    <n v="3.09"/>
  </r>
  <r>
    <x v="30"/>
    <x v="2"/>
    <n v="1786"/>
    <n v="257"/>
    <n v="274831"/>
    <n v="0.55634189738421069"/>
    <n v="4.68"/>
  </r>
  <r>
    <x v="30"/>
    <x v="3"/>
    <n v="1495"/>
    <n v="35"/>
    <n v="136845"/>
    <n v="1.0669005078738718"/>
    <n v="4.4800000000000004"/>
  </r>
  <r>
    <x v="31"/>
    <x v="0"/>
    <n v="1013"/>
    <n v="110"/>
    <n v="466382"/>
    <n v="0.19361810704529764"/>
    <n v="5.3"/>
  </r>
  <r>
    <x v="31"/>
    <x v="1"/>
    <n v="816"/>
    <n v="196"/>
    <n v="95728"/>
    <n v="0.64766839378238339"/>
    <n v="8.1999999999999993"/>
  </r>
  <r>
    <x v="31"/>
    <x v="2"/>
    <n v="1633"/>
    <n v="445"/>
    <n v="371156"/>
    <n v="0.32008104408927779"/>
    <n v="2.2200000000000002"/>
  </r>
  <r>
    <x v="31"/>
    <x v="3"/>
    <n v="891"/>
    <n v="45"/>
    <n v="95410"/>
    <n v="0.88669950738916259"/>
    <n v="8.33"/>
  </r>
  <r>
    <x v="32"/>
    <x v="0"/>
    <n v="1855"/>
    <n v="133"/>
    <n v="349413"/>
    <n v="0.49282654051223052"/>
    <n v="3.3"/>
  </r>
  <r>
    <x v="32"/>
    <x v="1"/>
    <n v="651"/>
    <n v="353"/>
    <n v="224699"/>
    <n v="0.13262186302564766"/>
    <n v="5.61"/>
  </r>
  <r>
    <x v="32"/>
    <x v="2"/>
    <n v="118"/>
    <n v="262"/>
    <n v="487896"/>
    <n v="-2.9514486693885584E-2"/>
    <n v="2.56"/>
  </r>
  <r>
    <x v="32"/>
    <x v="3"/>
    <n v="1331"/>
    <n v="430"/>
    <n v="14437"/>
    <n v="6.2409087760615085"/>
    <n v="3.29"/>
  </r>
  <r>
    <x v="33"/>
    <x v="0"/>
    <n v="1748"/>
    <n v="176"/>
    <n v="383681"/>
    <n v="0.40971536250166152"/>
    <n v="9.24"/>
  </r>
  <r>
    <x v="33"/>
    <x v="1"/>
    <n v="663"/>
    <n v="236"/>
    <n v="479490"/>
    <n v="8.905295209493419E-2"/>
    <n v="4.51"/>
  </r>
  <r>
    <x v="33"/>
    <x v="2"/>
    <n v="1040"/>
    <n v="149"/>
    <n v="124404"/>
    <n v="0.71621491270377158"/>
    <n v="5.23"/>
  </r>
  <r>
    <x v="33"/>
    <x v="3"/>
    <n v="1166"/>
    <n v="442"/>
    <n v="336949"/>
    <n v="0.2148693125665902"/>
    <n v="4.68"/>
  </r>
  <r>
    <x v="34"/>
    <x v="0"/>
    <n v="115"/>
    <n v="281"/>
    <n v="357265"/>
    <n v="-4.6464109274628081E-2"/>
    <n v="9.23"/>
  </r>
  <r>
    <x v="34"/>
    <x v="1"/>
    <n v="1249"/>
    <n v="351"/>
    <n v="321307"/>
    <n v="0.27948348464241363"/>
    <n v="6.37"/>
  </r>
  <r>
    <x v="34"/>
    <x v="2"/>
    <n v="1501"/>
    <n v="75"/>
    <n v="262569"/>
    <n v="0.54309533874905258"/>
    <n v="2.0099999999999998"/>
  </r>
  <r>
    <x v="34"/>
    <x v="3"/>
    <n v="1411"/>
    <n v="186"/>
    <n v="461669"/>
    <n v="0.26534161921203286"/>
    <n v="3.72"/>
  </r>
  <r>
    <x v="35"/>
    <x v="0"/>
    <n v="1556"/>
    <n v="476"/>
    <n v="351556"/>
    <n v="0.30720567989168157"/>
    <n v="3.89"/>
  </r>
  <r>
    <x v="35"/>
    <x v="1"/>
    <n v="1159"/>
    <n v="411"/>
    <n v="135987"/>
    <n v="0.5500525785553031"/>
    <n v="8.6999999999999993"/>
  </r>
  <r>
    <x v="35"/>
    <x v="2"/>
    <n v="927"/>
    <n v="358"/>
    <n v="177554"/>
    <n v="0.32046588643454949"/>
    <n v="6.95"/>
  </r>
  <r>
    <x v="35"/>
    <x v="3"/>
    <n v="152"/>
    <n v="355"/>
    <n v="270766"/>
    <n v="-7.4972485467156139E-2"/>
    <n v="9.48"/>
  </r>
  <r>
    <x v="36"/>
    <x v="0"/>
    <n v="1957"/>
    <n v="234"/>
    <n v="222126"/>
    <n v="0.77568587198256844"/>
    <n v="4.6100000000000003"/>
  </r>
  <r>
    <x v="36"/>
    <x v="1"/>
    <n v="1294"/>
    <n v="382"/>
    <n v="309914"/>
    <n v="0.29427518601934727"/>
    <n v="8.0299999999999994"/>
  </r>
  <r>
    <x v="36"/>
    <x v="2"/>
    <n v="1587"/>
    <n v="385"/>
    <n v="126582"/>
    <n v="0.94958208908059605"/>
    <n v="6.99"/>
  </r>
  <r>
    <x v="36"/>
    <x v="3"/>
    <n v="1707"/>
    <n v="263"/>
    <n v="485280"/>
    <n v="0.29756017144741181"/>
    <n v="9.0299999999999994"/>
  </r>
  <r>
    <x v="37"/>
    <x v="0"/>
    <n v="1138"/>
    <n v="173"/>
    <n v="453243"/>
    <n v="0.21291007252180397"/>
    <n v="2.86"/>
  </r>
  <r>
    <x v="37"/>
    <x v="1"/>
    <n v="1895"/>
    <n v="305"/>
    <n v="104967"/>
    <n v="1.5147617822744293"/>
    <n v="3.85"/>
  </r>
  <r>
    <x v="37"/>
    <x v="2"/>
    <n v="362"/>
    <n v="399"/>
    <n v="145608"/>
    <n v="-2.5410691720235155E-2"/>
    <n v="7.3"/>
  </r>
  <r>
    <x v="37"/>
    <x v="3"/>
    <n v="1662"/>
    <n v="487"/>
    <n v="105980"/>
    <n v="1.1086997546706925"/>
    <n v="9.08"/>
  </r>
  <r>
    <x v="38"/>
    <x v="0"/>
    <n v="1440"/>
    <n v="65"/>
    <n v="126524"/>
    <n v="1.08675033985647"/>
    <n v="4.34"/>
  </r>
  <r>
    <x v="38"/>
    <x v="1"/>
    <n v="1884"/>
    <n v="177"/>
    <n v="230448"/>
    <n v="0.74073109768798173"/>
    <n v="7.8"/>
  </r>
  <r>
    <x v="38"/>
    <x v="2"/>
    <n v="861"/>
    <n v="153"/>
    <n v="317007"/>
    <n v="0.22333891680625351"/>
    <n v="3.85"/>
  </r>
  <r>
    <x v="38"/>
    <x v="3"/>
    <n v="1063"/>
    <n v="47"/>
    <n v="464239"/>
    <n v="0.21885278918832757"/>
    <n v="6.58"/>
  </r>
  <r>
    <x v="39"/>
    <x v="0"/>
    <n v="1371"/>
    <n v="56"/>
    <n v="257579"/>
    <n v="0.51052298518124528"/>
    <n v="8.6199999999999992"/>
  </r>
  <r>
    <x v="39"/>
    <x v="1"/>
    <n v="345"/>
    <n v="464"/>
    <n v="366881"/>
    <n v="-3.2435585380545737E-2"/>
    <n v="4.55"/>
  </r>
  <r>
    <x v="39"/>
    <x v="2"/>
    <n v="946"/>
    <n v="47"/>
    <n v="466575"/>
    <n v="0.19268070513850935"/>
    <n v="8.33"/>
  </r>
  <r>
    <x v="39"/>
    <x v="3"/>
    <n v="510"/>
    <n v="195"/>
    <n v="224534"/>
    <n v="0.14029055733207443"/>
    <n v="9.4"/>
  </r>
  <r>
    <x v="40"/>
    <x v="0"/>
    <n v="393"/>
    <n v="181"/>
    <n v="462142"/>
    <n v="4.5873346287504703E-2"/>
    <n v="7.23"/>
  </r>
  <r>
    <x v="40"/>
    <x v="1"/>
    <n v="1098"/>
    <n v="190"/>
    <n v="340842"/>
    <n v="0.26639909400836753"/>
    <n v="9.39"/>
  </r>
  <r>
    <x v="40"/>
    <x v="2"/>
    <n v="1399"/>
    <n v="49"/>
    <n v="12471"/>
    <n v="10.825114265095021"/>
    <n v="5.12"/>
  </r>
  <r>
    <x v="40"/>
    <x v="3"/>
    <n v="1658"/>
    <n v="416"/>
    <n v="98397"/>
    <n v="1.2622336046830696"/>
    <n v="6.11"/>
  </r>
  <r>
    <x v="41"/>
    <x v="0"/>
    <n v="1102"/>
    <n v="422"/>
    <n v="410330"/>
    <n v="0.16572027392586453"/>
    <n v="7.74"/>
  </r>
  <r>
    <x v="41"/>
    <x v="1"/>
    <n v="1358"/>
    <n v="242"/>
    <n v="342129"/>
    <n v="0.32619275185675578"/>
    <n v="4.9400000000000004"/>
  </r>
  <r>
    <x v="41"/>
    <x v="2"/>
    <n v="1077"/>
    <n v="216"/>
    <n v="12447"/>
    <n v="6.9173294769824052"/>
    <n v="1.8"/>
  </r>
  <r>
    <x v="41"/>
    <x v="3"/>
    <n v="1596"/>
    <n v="211"/>
    <n v="17380"/>
    <n v="7.9689298043728432"/>
    <n v="8.64"/>
  </r>
  <r>
    <x v="42"/>
    <x v="0"/>
    <n v="490"/>
    <n v="29"/>
    <n v="364810"/>
    <n v="0.12636715002329982"/>
    <n v="1.53"/>
  </r>
  <r>
    <x v="42"/>
    <x v="1"/>
    <n v="609"/>
    <n v="135"/>
    <n v="373606"/>
    <n v="0.1268716241173857"/>
    <n v="8.52"/>
  </r>
  <r>
    <x v="42"/>
    <x v="2"/>
    <n v="364"/>
    <n v="72"/>
    <n v="211090"/>
    <n v="0.13832962243592781"/>
    <n v="5.53"/>
  </r>
  <r>
    <x v="42"/>
    <x v="3"/>
    <n v="442"/>
    <n v="53"/>
    <n v="441931"/>
    <n v="8.8022790888170319E-2"/>
    <n v="1.87"/>
  </r>
  <r>
    <x v="43"/>
    <x v="0"/>
    <n v="1033"/>
    <n v="392"/>
    <n v="282780"/>
    <n v="0.22667798288422092"/>
    <n v="6.27"/>
  </r>
  <r>
    <x v="43"/>
    <x v="1"/>
    <n v="988"/>
    <n v="474"/>
    <n v="370070"/>
    <n v="0.13889264193260734"/>
    <n v="9.4600000000000009"/>
  </r>
  <r>
    <x v="43"/>
    <x v="2"/>
    <n v="1946"/>
    <n v="270"/>
    <n v="198350"/>
    <n v="0.84497101083942527"/>
    <n v="7.5"/>
  </r>
  <r>
    <x v="43"/>
    <x v="3"/>
    <n v="1957"/>
    <n v="490"/>
    <n v="435726"/>
    <n v="0.33667947287974553"/>
    <n v="4.7300000000000004"/>
  </r>
  <r>
    <x v="44"/>
    <x v="0"/>
    <n v="559"/>
    <n v="392"/>
    <n v="78789"/>
    <n v="0.21195852212872357"/>
    <n v="3.19"/>
  </r>
  <r>
    <x v="44"/>
    <x v="1"/>
    <n v="1307"/>
    <n v="278"/>
    <n v="98596"/>
    <n v="1.0436528865268369"/>
    <n v="2.4900000000000002"/>
  </r>
  <r>
    <x v="44"/>
    <x v="2"/>
    <n v="1432"/>
    <n v="425"/>
    <n v="29589"/>
    <n v="3.4032917638311533"/>
    <n v="4.5"/>
  </r>
  <r>
    <x v="44"/>
    <x v="3"/>
    <n v="623"/>
    <n v="414"/>
    <n v="290354"/>
    <n v="7.1981098934404214E-2"/>
    <n v="6.49"/>
  </r>
  <r>
    <x v="45"/>
    <x v="0"/>
    <n v="198"/>
    <n v="358"/>
    <n v="66682"/>
    <n v="-0.2399448126930806"/>
    <n v="6.73"/>
  </r>
  <r>
    <x v="45"/>
    <x v="1"/>
    <n v="198"/>
    <n v="373"/>
    <n v="70707"/>
    <n v="-0.24750024750024749"/>
    <n v="4.83"/>
  </r>
  <r>
    <x v="45"/>
    <x v="2"/>
    <n v="353"/>
    <n v="300"/>
    <n v="142507"/>
    <n v="3.7191155522184875E-2"/>
    <n v="5.3"/>
  </r>
  <r>
    <x v="45"/>
    <x v="3"/>
    <n v="520"/>
    <n v="375"/>
    <n v="369525"/>
    <n v="3.9239564305527365E-2"/>
    <n v="6.54"/>
  </r>
  <r>
    <x v="46"/>
    <x v="0"/>
    <n v="961"/>
    <n v="358"/>
    <n v="62942"/>
    <n v="0.95802484827301337"/>
    <n v="6.8"/>
  </r>
  <r>
    <x v="46"/>
    <x v="1"/>
    <n v="1375"/>
    <n v="330"/>
    <n v="377382"/>
    <n v="0.27690774864725926"/>
    <n v="2.6"/>
  </r>
  <r>
    <x v="46"/>
    <x v="2"/>
    <n v="1147"/>
    <n v="388"/>
    <n v="333851"/>
    <n v="0.22734693021737243"/>
    <n v="2.44"/>
  </r>
  <r>
    <x v="46"/>
    <x v="3"/>
    <n v="1707"/>
    <n v="74"/>
    <n v="270958"/>
    <n v="0.60267642955734835"/>
    <n v="3.09"/>
  </r>
  <r>
    <x v="47"/>
    <x v="0"/>
    <n v="1693"/>
    <n v="154"/>
    <n v="445944"/>
    <n v="0.34511059684624079"/>
    <n v="5.69"/>
  </r>
  <r>
    <x v="47"/>
    <x v="1"/>
    <n v="833"/>
    <n v="380"/>
    <n v="224830"/>
    <n v="0.2014855668727483"/>
    <n v="3.86"/>
  </r>
  <r>
    <x v="47"/>
    <x v="2"/>
    <n v="1222"/>
    <n v="274"/>
    <n v="487289"/>
    <n v="0.19454574184929271"/>
    <n v="3.16"/>
  </r>
  <r>
    <x v="47"/>
    <x v="3"/>
    <n v="777"/>
    <n v="140"/>
    <n v="11435"/>
    <n v="5.5706165282028861"/>
    <n v="1.6"/>
  </r>
  <r>
    <x v="48"/>
    <x v="0"/>
    <n v="1957"/>
    <n v="76"/>
    <n v="447902"/>
    <n v="0.41995793722733987"/>
    <n v="6.09"/>
  </r>
  <r>
    <x v="48"/>
    <x v="1"/>
    <n v="405"/>
    <n v="66"/>
    <n v="418696"/>
    <n v="8.0965664826031306E-2"/>
    <n v="5.59"/>
  </r>
  <r>
    <x v="48"/>
    <x v="2"/>
    <n v="1581"/>
    <n v="71"/>
    <n v="484364"/>
    <n v="0.311749015203442"/>
    <n v="3.55"/>
  </r>
  <r>
    <x v="48"/>
    <x v="3"/>
    <n v="1035"/>
    <n v="171"/>
    <n v="148477"/>
    <n v="0.58190830903102841"/>
    <n v="5.21"/>
  </r>
  <r>
    <x v="49"/>
    <x v="0"/>
    <n v="1765"/>
    <n v="109"/>
    <n v="468301"/>
    <n v="0.35361871958419905"/>
    <n v="1.82"/>
  </r>
  <r>
    <x v="49"/>
    <x v="1"/>
    <n v="837"/>
    <n v="430"/>
    <n v="364820"/>
    <n v="0.11156186612576065"/>
    <n v="4"/>
  </r>
  <r>
    <x v="49"/>
    <x v="2"/>
    <n v="337"/>
    <n v="68"/>
    <n v="456298"/>
    <n v="5.8952701962314107E-2"/>
    <n v="7.57"/>
  </r>
  <r>
    <x v="49"/>
    <x v="3"/>
    <n v="119"/>
    <n v="456"/>
    <n v="82558"/>
    <n v="-0.4081978730104896"/>
    <n v="6.81"/>
  </r>
  <r>
    <x v="50"/>
    <x v="4"/>
    <m/>
    <m/>
    <m/>
    <m/>
    <m/>
  </r>
  <r>
    <x v="50"/>
    <x v="4"/>
    <m/>
    <m/>
    <m/>
    <m/>
    <m/>
  </r>
  <r>
    <x v="50"/>
    <x v="4"/>
    <m/>
    <m/>
    <m/>
    <m/>
    <m/>
  </r>
  <r>
    <x v="50"/>
    <x v="4"/>
    <m/>
    <m/>
    <m/>
    <m/>
    <m/>
  </r>
  <r>
    <x v="50"/>
    <x v="4"/>
    <m/>
    <m/>
    <m/>
    <m/>
    <m/>
  </r>
  <r>
    <x v="50"/>
    <x v="4"/>
    <m/>
    <m/>
    <m/>
    <m/>
    <m/>
  </r>
  <r>
    <x v="50"/>
    <x v="4"/>
    <m/>
    <m/>
    <m/>
    <m/>
    <m/>
  </r>
  <r>
    <x v="50"/>
    <x v="4"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208">
  <r>
    <x v="0"/>
    <s v="Instagram"/>
    <n v="1135"/>
    <n v="88"/>
    <n v="344084"/>
    <n v="0.30428616268120573"/>
    <n v="8.06"/>
    <n v="806"/>
    <n v="5904"/>
    <s v="Instagram"/>
    <n v="1047"/>
  </r>
  <r>
    <x v="0"/>
    <s v="Facebook"/>
    <n v="1312"/>
    <n v="310"/>
    <n v="42654"/>
    <n v="2.3491348994232664"/>
    <n v="4.9800000000000004"/>
    <n v="498.00000000000006"/>
    <n v="9566"/>
    <s v="Facebook"/>
    <n v="1002"/>
  </r>
  <r>
    <x v="0"/>
    <s v="Twitter"/>
    <n v="584"/>
    <n v="169"/>
    <n v="146834"/>
    <n v="0.28263208793603661"/>
    <n v="8.31"/>
    <n v="831"/>
    <n v="26752"/>
    <s v="Twitter"/>
    <n v="415"/>
  </r>
  <r>
    <x v="0"/>
    <s v="YouTube"/>
    <n v="1535"/>
    <n v="445"/>
    <n v="395536"/>
    <n v="0.27557542170624166"/>
    <n v="4.1100000000000003"/>
    <n v="411.00000000000006"/>
    <n v="30671"/>
    <s v="YouTube"/>
    <n v="1090"/>
  </r>
  <r>
    <x v="1"/>
    <s v="Instagram"/>
    <n v="656"/>
    <n v="139"/>
    <n v="49157"/>
    <n v="1.0517322049758935"/>
    <n v="9.0500000000000007"/>
    <n v="905.00000000000011"/>
    <n v="9920"/>
    <s v="Instagram"/>
    <n v="517"/>
  </r>
  <r>
    <x v="1"/>
    <s v="Facebook"/>
    <n v="1697"/>
    <n v="414"/>
    <n v="316555"/>
    <n v="0.40530081660374973"/>
    <n v="2.37"/>
    <n v="237"/>
    <n v="7924"/>
    <s v="Facebook"/>
    <n v="1283"/>
  </r>
  <r>
    <x v="1"/>
    <s v="Twitter"/>
    <n v="436"/>
    <n v="250"/>
    <n v="254347"/>
    <n v="7.3128442639386351E-2"/>
    <n v="4.01"/>
    <n v="401"/>
    <n v="8912"/>
    <s v="Twitter"/>
    <n v="186"/>
  </r>
  <r>
    <x v="1"/>
    <s v="YouTube"/>
    <n v="1197"/>
    <n v="203"/>
    <n v="413878"/>
    <n v="0.24016739232334167"/>
    <n v="3.16"/>
    <n v="316"/>
    <n v="21205"/>
    <s v="YouTube"/>
    <n v="994"/>
  </r>
  <r>
    <x v="2"/>
    <s v="Instagram"/>
    <n v="1048"/>
    <n v="155"/>
    <n v="456946"/>
    <n v="0.19542790614208244"/>
    <n v="2.46"/>
    <n v="246"/>
    <n v="11329"/>
    <s v="Instagram"/>
    <n v="893"/>
  </r>
  <r>
    <x v="2"/>
    <s v="Facebook"/>
    <n v="1753"/>
    <n v="371"/>
    <n v="169496"/>
    <n v="0.8153584745362723"/>
    <n v="8.11"/>
    <n v="811"/>
    <n v="46670"/>
    <s v="Facebook"/>
    <n v="1382"/>
  </r>
  <r>
    <x v="2"/>
    <s v="Twitter"/>
    <n v="1335"/>
    <n v="40"/>
    <n v="122732"/>
    <n v="1.0551445425805821"/>
    <n v="8.19"/>
    <n v="819"/>
    <n v="22482"/>
    <s v="Twitter"/>
    <n v="1295"/>
  </r>
  <r>
    <x v="2"/>
    <s v="YouTube"/>
    <n v="403"/>
    <n v="66"/>
    <n v="382851"/>
    <n v="8.8023800381871797E-2"/>
    <n v="3.49"/>
    <n v="349"/>
    <n v="24313"/>
    <s v="YouTube"/>
    <n v="337"/>
  </r>
  <r>
    <x v="3"/>
    <s v="Instagram"/>
    <n v="911"/>
    <n v="282"/>
    <n v="35664"/>
    <n v="1.7636832660385824"/>
    <n v="6.92"/>
    <n v="692"/>
    <n v="18050"/>
    <s v="Instagram"/>
    <n v="629"/>
  </r>
  <r>
    <x v="3"/>
    <s v="Facebook"/>
    <n v="1779"/>
    <n v="109"/>
    <n v="26295"/>
    <n v="6.3510173036698996"/>
    <n v="9.1199999999999992"/>
    <n v="911.99999999999989"/>
    <n v="30635"/>
    <s v="Facebook"/>
    <n v="1670"/>
  </r>
  <r>
    <x v="3"/>
    <s v="Twitter"/>
    <n v="1238"/>
    <n v="403"/>
    <n v="298421"/>
    <n v="0.27980604582117208"/>
    <n v="3.5"/>
    <n v="350"/>
    <n v="31280"/>
    <s v="Twitter"/>
    <n v="835"/>
  </r>
  <r>
    <x v="3"/>
    <s v="YouTube"/>
    <n v="308"/>
    <n v="431"/>
    <n v="426184"/>
    <n v="-2.8860773750305036E-2"/>
    <n v="2.62"/>
    <n v="262"/>
    <n v="1783"/>
    <s v="YouTube"/>
    <n v="-123"/>
  </r>
  <r>
    <x v="4"/>
    <s v="Instagram"/>
    <n v="226"/>
    <n v="445"/>
    <n v="419447"/>
    <n v="-5.2211602419375981E-2"/>
    <n v="9.36"/>
    <n v="936"/>
    <n v="9566"/>
    <s v="Instagram"/>
    <n v="-219"/>
  </r>
  <r>
    <x v="4"/>
    <s v="Facebook"/>
    <n v="505"/>
    <n v="441"/>
    <n v="220020"/>
    <n v="2.9088264703208796E-2"/>
    <n v="4.4800000000000004"/>
    <n v="448.00000000000006"/>
    <n v="42307"/>
    <s v="Facebook"/>
    <n v="64"/>
  </r>
  <r>
    <x v="4"/>
    <s v="Twitter"/>
    <n v="1420"/>
    <n v="63"/>
    <n v="315305"/>
    <n v="0.4303769366169265"/>
    <n v="6.19"/>
    <n v="619"/>
    <n v="5914"/>
    <s v="Twitter"/>
    <n v="1357"/>
  </r>
  <r>
    <x v="4"/>
    <s v="YouTube"/>
    <n v="144"/>
    <n v="53"/>
    <n v="113678"/>
    <n v="8.0050669434719113E-2"/>
    <n v="8.7200000000000006"/>
    <n v="872.00000000000011"/>
    <n v="30060"/>
    <s v="YouTube"/>
    <n v="91"/>
  </r>
  <r>
    <x v="5"/>
    <s v="Instagram"/>
    <n v="1757"/>
    <n v="85"/>
    <n v="58223"/>
    <n v="2.8717173625543171"/>
    <n v="8.74"/>
    <n v="874"/>
    <n v="22728"/>
    <s v="Instagram"/>
    <n v="1672"/>
  </r>
  <r>
    <x v="5"/>
    <s v="Facebook"/>
    <n v="350"/>
    <n v="41"/>
    <n v="251694"/>
    <n v="0.12276812319721568"/>
    <n v="1.91"/>
    <n v="191"/>
    <n v="38610"/>
    <s v="Facebook"/>
    <n v="309"/>
  </r>
  <r>
    <x v="5"/>
    <s v="Twitter"/>
    <n v="987"/>
    <n v="440"/>
    <n v="389810"/>
    <n v="0.140324773607655"/>
    <n v="4.66"/>
    <n v="466"/>
    <n v="2932"/>
    <s v="Twitter"/>
    <n v="547"/>
  </r>
  <r>
    <x v="5"/>
    <s v="YouTube"/>
    <n v="883"/>
    <n v="369"/>
    <n v="233694"/>
    <n v="0.21994574101175038"/>
    <n v="2.88"/>
    <n v="288"/>
    <n v="15071"/>
    <s v="YouTube"/>
    <n v="514"/>
  </r>
  <r>
    <x v="6"/>
    <s v="Instagram"/>
    <n v="1960"/>
    <n v="115"/>
    <n v="154169"/>
    <n v="1.1967386439556591"/>
    <n v="3.74"/>
    <n v="374"/>
    <n v="10740"/>
    <s v="Instagram"/>
    <n v="1845"/>
  </r>
  <r>
    <x v="6"/>
    <s v="Facebook"/>
    <n v="170"/>
    <n v="334"/>
    <n v="334626"/>
    <n v="-4.9009939454794309E-2"/>
    <n v="6.44"/>
    <n v="644"/>
    <n v="43420"/>
    <s v="Facebook"/>
    <n v="-164"/>
  </r>
  <r>
    <x v="6"/>
    <s v="Twitter"/>
    <n v="704"/>
    <n v="275"/>
    <n v="226002"/>
    <n v="0.18982132901478749"/>
    <n v="8.56"/>
    <n v="856"/>
    <n v="32393"/>
    <s v="Twitter"/>
    <n v="429"/>
  </r>
  <r>
    <x v="6"/>
    <s v="YouTube"/>
    <n v="224"/>
    <n v="64"/>
    <n v="156683"/>
    <n v="0.10211701333265255"/>
    <n v="4.5599999999999996"/>
    <n v="455.99999999999994"/>
    <n v="28474"/>
    <s v="YouTube"/>
    <n v="160"/>
  </r>
  <r>
    <x v="7"/>
    <s v="Instagram"/>
    <n v="508"/>
    <n v="349"/>
    <n v="473812"/>
    <n v="3.3557613568250697E-2"/>
    <n v="7.88"/>
    <n v="788"/>
    <n v="17328"/>
    <s v="Instagram"/>
    <n v="159"/>
  </r>
  <r>
    <x v="7"/>
    <s v="Facebook"/>
    <n v="1391"/>
    <n v="430"/>
    <n v="295032"/>
    <n v="0.32572737872501967"/>
    <n v="7.86"/>
    <n v="786"/>
    <n v="26067"/>
    <s v="Facebook"/>
    <n v="961"/>
  </r>
  <r>
    <x v="7"/>
    <s v="Twitter"/>
    <n v="1701"/>
    <n v="385"/>
    <n v="198278"/>
    <n v="0.66371458255580551"/>
    <n v="5.34"/>
    <n v="534"/>
    <n v="32763"/>
    <s v="Twitter"/>
    <n v="1316"/>
  </r>
  <r>
    <x v="7"/>
    <s v="YouTube"/>
    <n v="804"/>
    <n v="487"/>
    <n v="306564"/>
    <n v="0.10340418313957282"/>
    <n v="5.52"/>
    <n v="552"/>
    <n v="26452"/>
    <s v="YouTube"/>
    <n v="317"/>
  </r>
  <r>
    <x v="8"/>
    <s v="Instagram"/>
    <n v="653"/>
    <n v="112"/>
    <n v="23664"/>
    <n v="2.2861730899256254"/>
    <n v="4.05"/>
    <n v="405"/>
    <n v="15353"/>
    <s v="Instagram"/>
    <n v="541"/>
  </r>
  <r>
    <x v="8"/>
    <s v="Facebook"/>
    <n v="160"/>
    <n v="478"/>
    <n v="435034"/>
    <n v="-7.309773488968678E-2"/>
    <n v="7.73"/>
    <n v="773"/>
    <n v="4839"/>
    <s v="Facebook"/>
    <n v="-318"/>
  </r>
  <r>
    <x v="8"/>
    <s v="Twitter"/>
    <n v="1756"/>
    <n v="261"/>
    <n v="287574"/>
    <n v="0.51986619096302167"/>
    <n v="4.3600000000000003"/>
    <n v="436.00000000000006"/>
    <n v="39272"/>
    <s v="Twitter"/>
    <n v="1495"/>
  </r>
  <r>
    <x v="8"/>
    <s v="YouTube"/>
    <n v="576"/>
    <n v="101"/>
    <n v="62499"/>
    <n v="0.76001216019456308"/>
    <n v="3.48"/>
    <n v="348"/>
    <n v="16804"/>
    <s v="YouTube"/>
    <n v="475"/>
  </r>
  <r>
    <x v="9"/>
    <s v="Instagram"/>
    <n v="645"/>
    <n v="293"/>
    <n v="437968"/>
    <n v="8.0371168669857163E-2"/>
    <n v="7.83"/>
    <n v="783"/>
    <n v="49303"/>
    <s v="Instagram"/>
    <n v="352"/>
  </r>
  <r>
    <x v="9"/>
    <s v="Facebook"/>
    <n v="214"/>
    <n v="411"/>
    <n v="125034"/>
    <n v="-0.15755714445670779"/>
    <n v="6.11"/>
    <n v="611"/>
    <n v="26455"/>
    <s v="Facebook"/>
    <n v="-197"/>
  </r>
  <r>
    <x v="9"/>
    <s v="Twitter"/>
    <n v="826"/>
    <n v="498"/>
    <n v="449994"/>
    <n v="7.2889860753698937E-2"/>
    <n v="9.43"/>
    <n v="943"/>
    <n v="12384"/>
    <s v="Twitter"/>
    <n v="328"/>
  </r>
  <r>
    <x v="9"/>
    <s v="YouTube"/>
    <n v="460"/>
    <n v="141"/>
    <n v="320650"/>
    <n v="9.9485420240137221E-2"/>
    <n v="4.04"/>
    <n v="404"/>
    <n v="49372"/>
    <s v="YouTube"/>
    <n v="319"/>
  </r>
  <r>
    <x v="10"/>
    <s v="Instagram"/>
    <n v="1528"/>
    <n v="203"/>
    <n v="489188"/>
    <n v="0.27085701202809553"/>
    <n v="6.23"/>
    <n v="623"/>
    <n v="47101"/>
    <s v="Instagram"/>
    <n v="1325"/>
  </r>
  <r>
    <x v="10"/>
    <s v="Facebook"/>
    <n v="1534"/>
    <n v="200"/>
    <n v="307612"/>
    <n v="0.43366318609156984"/>
    <n v="6.01"/>
    <n v="601"/>
    <n v="37903"/>
    <s v="Facebook"/>
    <n v="1334"/>
  </r>
  <r>
    <x v="10"/>
    <s v="Twitter"/>
    <n v="485"/>
    <n v="448"/>
    <n v="434883"/>
    <n v="8.5080354946042956E-3"/>
    <n v="8.5500000000000007"/>
    <n v="855.00000000000011"/>
    <n v="33258"/>
    <s v="Twitter"/>
    <n v="37"/>
  </r>
  <r>
    <x v="10"/>
    <s v="YouTube"/>
    <n v="1210"/>
    <n v="178"/>
    <n v="102042"/>
    <n v="1.011348268360087"/>
    <n v="5.42"/>
    <n v="542"/>
    <n v="6915"/>
    <s v="YouTube"/>
    <n v="1032"/>
  </r>
  <r>
    <x v="11"/>
    <s v="Instagram"/>
    <n v="215"/>
    <n v="139"/>
    <n v="325444"/>
    <n v="2.335271198731579E-2"/>
    <n v="3.25"/>
    <n v="325"/>
    <n v="35501"/>
    <s v="Instagram"/>
    <n v="76"/>
  </r>
  <r>
    <x v="11"/>
    <s v="Facebook"/>
    <n v="1078"/>
    <n v="20"/>
    <n v="183924"/>
    <n v="0.57523759813836151"/>
    <n v="8.84"/>
    <n v="884"/>
    <n v="14203"/>
    <s v="Facebook"/>
    <n v="1058"/>
  </r>
  <r>
    <x v="11"/>
    <s v="Twitter"/>
    <n v="1751"/>
    <n v="86"/>
    <n v="188655"/>
    <n v="0.88256340939810773"/>
    <n v="7.24"/>
    <n v="724"/>
    <n v="22206"/>
    <s v="Twitter"/>
    <n v="1665"/>
  </r>
  <r>
    <x v="11"/>
    <s v="YouTube"/>
    <n v="221"/>
    <n v="31"/>
    <n v="87443"/>
    <n v="0.21728440241071326"/>
    <n v="6.19"/>
    <n v="619"/>
    <n v="10283"/>
    <s v="YouTube"/>
    <n v="190"/>
  </r>
  <r>
    <x v="12"/>
    <s v="Instagram"/>
    <n v="1685"/>
    <n v="76"/>
    <n v="453799"/>
    <n v="0.35456226214689768"/>
    <n v="5.71"/>
    <n v="571"/>
    <n v="24913"/>
    <s v="Instagram"/>
    <n v="1609"/>
  </r>
  <r>
    <x v="12"/>
    <s v="Facebook"/>
    <n v="248"/>
    <n v="211"/>
    <n v="379380"/>
    <n v="9.7527544941747053E-3"/>
    <n v="9.0399999999999991"/>
    <n v="903.99999999999989"/>
    <n v="26925"/>
    <s v="Facebook"/>
    <n v="37"/>
  </r>
  <r>
    <x v="12"/>
    <s v="Twitter"/>
    <n v="1300"/>
    <n v="71"/>
    <n v="186454"/>
    <n v="0.65914381026955704"/>
    <n v="3.91"/>
    <n v="391"/>
    <n v="9942"/>
    <s v="Twitter"/>
    <n v="1229"/>
  </r>
  <r>
    <x v="12"/>
    <s v="YouTube"/>
    <n v="422"/>
    <n v="394"/>
    <n v="239044"/>
    <n v="1.1713324743561855E-2"/>
    <n v="7.83"/>
    <n v="783"/>
    <n v="32929"/>
    <s v="YouTube"/>
    <n v="28"/>
  </r>
  <r>
    <x v="13"/>
    <s v="Instagram"/>
    <n v="1429"/>
    <n v="182"/>
    <n v="101332"/>
    <n v="1.2306082974775983"/>
    <n v="7.16"/>
    <n v="716"/>
    <n v="37829"/>
    <s v="Instagram"/>
    <n v="1247"/>
  </r>
  <r>
    <x v="13"/>
    <s v="Facebook"/>
    <n v="1520"/>
    <n v="475"/>
    <n v="496982"/>
    <n v="0.21026918479944948"/>
    <n v="6.41"/>
    <n v="641"/>
    <n v="24384"/>
    <s v="Facebook"/>
    <n v="1045"/>
  </r>
  <r>
    <x v="13"/>
    <s v="Twitter"/>
    <n v="557"/>
    <n v="360"/>
    <n v="318779"/>
    <n v="6.1798299135137513E-2"/>
    <n v="8.02"/>
    <n v="802"/>
    <n v="25797"/>
    <s v="Twitter"/>
    <n v="197"/>
  </r>
  <r>
    <x v="13"/>
    <s v="YouTube"/>
    <n v="728"/>
    <n v="395"/>
    <n v="370971"/>
    <n v="8.9764429025449427E-2"/>
    <n v="3.86"/>
    <n v="386"/>
    <n v="12646"/>
    <s v="YouTube"/>
    <n v="333"/>
  </r>
  <r>
    <x v="14"/>
    <s v="Instagram"/>
    <n v="1592"/>
    <n v="20"/>
    <n v="378054"/>
    <n v="0.41581361392816901"/>
    <n v="9.09"/>
    <n v="909"/>
    <n v="26663"/>
    <s v="Instagram"/>
    <n v="1572"/>
  </r>
  <r>
    <x v="14"/>
    <s v="Facebook"/>
    <n v="1842"/>
    <n v="414"/>
    <n v="307524"/>
    <n v="0.46435400163889645"/>
    <n v="1.76"/>
    <n v="176"/>
    <n v="40478"/>
    <s v="Facebook"/>
    <n v="1428"/>
  </r>
  <r>
    <x v="14"/>
    <s v="Twitter"/>
    <n v="751"/>
    <n v="491"/>
    <n v="434047"/>
    <n v="5.990134708914012E-2"/>
    <n v="9.24"/>
    <n v="924"/>
    <n v="15476"/>
    <s v="Twitter"/>
    <n v="260"/>
  </r>
  <r>
    <x v="14"/>
    <s v="YouTube"/>
    <n v="1409"/>
    <n v="309"/>
    <n v="64583"/>
    <n v="1.703234597339857"/>
    <n v="8.99"/>
    <n v="899"/>
    <n v="10217"/>
    <s v="YouTube"/>
    <n v="1100"/>
  </r>
  <r>
    <x v="15"/>
    <s v="Instagram"/>
    <n v="778"/>
    <n v="401"/>
    <n v="50793"/>
    <n v="0.74222825979957874"/>
    <n v="3.4"/>
    <n v="340"/>
    <n v="21939"/>
    <s v="Instagram"/>
    <n v="377"/>
  </r>
  <r>
    <x v="15"/>
    <s v="Facebook"/>
    <n v="443"/>
    <n v="345"/>
    <n v="474162"/>
    <n v="2.0668041724136478E-2"/>
    <n v="9.1999999999999993"/>
    <n v="919.99999999999989"/>
    <n v="47462"/>
    <s v="Facebook"/>
    <n v="98"/>
  </r>
  <r>
    <x v="15"/>
    <s v="Twitter"/>
    <n v="1472"/>
    <n v="347"/>
    <n v="392355"/>
    <n v="0.2867301296020186"/>
    <n v="8.59"/>
    <n v="859"/>
    <n v="30270"/>
    <s v="Twitter"/>
    <n v="1125"/>
  </r>
  <r>
    <x v="15"/>
    <s v="YouTube"/>
    <n v="123"/>
    <n v="155"/>
    <n v="119934"/>
    <n v="-2.6681341404439108E-2"/>
    <n v="3.5"/>
    <n v="350"/>
    <n v="5442"/>
    <s v="YouTube"/>
    <n v="-32"/>
  </r>
  <r>
    <x v="16"/>
    <s v="Instagram"/>
    <n v="817"/>
    <n v="151"/>
    <n v="422625"/>
    <n v="0.15758651286601597"/>
    <n v="2.36"/>
    <n v="236"/>
    <n v="1083"/>
    <s v="Instagram"/>
    <n v="666"/>
  </r>
  <r>
    <x v="16"/>
    <s v="Facebook"/>
    <n v="198"/>
    <n v="217"/>
    <n v="239753"/>
    <n v="-7.924822629956663E-3"/>
    <n v="7.36"/>
    <n v="736"/>
    <n v="11901"/>
    <s v="Facebook"/>
    <n v="-19"/>
  </r>
  <r>
    <x v="16"/>
    <s v="Twitter"/>
    <n v="1911"/>
    <n v="231"/>
    <n v="268516"/>
    <n v="0.62566104068286432"/>
    <n v="8.5500000000000007"/>
    <n v="855.00000000000011"/>
    <n v="24018"/>
    <s v="Twitter"/>
    <n v="1680"/>
  </r>
  <r>
    <x v="16"/>
    <s v="YouTube"/>
    <n v="1218"/>
    <n v="212"/>
    <n v="63177"/>
    <n v="1.592351646960128"/>
    <n v="8.1300000000000008"/>
    <n v="813.00000000000011"/>
    <n v="38883"/>
    <s v="YouTube"/>
    <n v="1006"/>
  </r>
  <r>
    <x v="17"/>
    <s v="Instagram"/>
    <n v="1433"/>
    <n v="408"/>
    <n v="370269"/>
    <n v="0.27682576721248608"/>
    <n v="3.3"/>
    <n v="330"/>
    <n v="30575"/>
    <s v="Instagram"/>
    <n v="1025"/>
  </r>
  <r>
    <x v="17"/>
    <s v="Facebook"/>
    <n v="250"/>
    <n v="429"/>
    <n v="453423"/>
    <n v="-3.9477485703195474E-2"/>
    <n v="1.77"/>
    <n v="177"/>
    <n v="2315"/>
    <s v="Facebook"/>
    <n v="-179"/>
  </r>
  <r>
    <x v="17"/>
    <s v="Twitter"/>
    <n v="752"/>
    <n v="153"/>
    <n v="64906"/>
    <n v="0.92287307798970819"/>
    <n v="2.09"/>
    <n v="209"/>
    <n v="12148"/>
    <s v="Twitter"/>
    <n v="599"/>
  </r>
  <r>
    <x v="17"/>
    <s v="YouTube"/>
    <n v="1918"/>
    <n v="212"/>
    <n v="94360"/>
    <n v="1.8079694785926241"/>
    <n v="7.36"/>
    <n v="736"/>
    <n v="36851"/>
    <s v="YouTube"/>
    <n v="1706"/>
  </r>
  <r>
    <x v="18"/>
    <s v="Instagram"/>
    <n v="1939"/>
    <n v="67"/>
    <n v="187183"/>
    <n v="1.000090820213374"/>
    <n v="6.25"/>
    <n v="625"/>
    <n v="41215"/>
    <s v="Instagram"/>
    <n v="1872"/>
  </r>
  <r>
    <x v="18"/>
    <s v="Facebook"/>
    <n v="1929"/>
    <n v="267"/>
    <n v="379363"/>
    <n v="0.43810281972675247"/>
    <n v="1.75"/>
    <n v="175"/>
    <n v="43836"/>
    <s v="Facebook"/>
    <n v="1662"/>
  </r>
  <r>
    <x v="18"/>
    <s v="Twitter"/>
    <n v="437"/>
    <n v="330"/>
    <n v="476486"/>
    <n v="2.2456063766826309E-2"/>
    <n v="4.97"/>
    <n v="497"/>
    <n v="4509"/>
    <s v="Twitter"/>
    <n v="107"/>
  </r>
  <r>
    <x v="18"/>
    <s v="YouTube"/>
    <n v="307"/>
    <n v="189"/>
    <n v="117767"/>
    <n v="0.10019784829366461"/>
    <n v="9.3000000000000007"/>
    <n v="930.00000000000011"/>
    <n v="27822"/>
    <s v="YouTube"/>
    <n v="118"/>
  </r>
  <r>
    <x v="19"/>
    <s v="Instagram"/>
    <n v="1527"/>
    <n v="303"/>
    <n v="388555"/>
    <n v="0.31501331857780751"/>
    <n v="8.9"/>
    <n v="890"/>
    <n v="36397"/>
    <s v="Instagram"/>
    <n v="1224"/>
  </r>
  <r>
    <x v="19"/>
    <s v="Facebook"/>
    <n v="643"/>
    <n v="358"/>
    <n v="157599"/>
    <n v="0.18083871090552606"/>
    <n v="3.88"/>
    <n v="388"/>
    <n v="7285"/>
    <s v="Facebook"/>
    <n v="285"/>
  </r>
  <r>
    <x v="19"/>
    <s v="Twitter"/>
    <n v="201"/>
    <n v="221"/>
    <n v="309772"/>
    <n v="-6.4563614529395824E-3"/>
    <n v="5.9"/>
    <n v="590"/>
    <n v="33174"/>
    <s v="Twitter"/>
    <n v="-20"/>
  </r>
  <r>
    <x v="19"/>
    <s v="YouTube"/>
    <n v="414"/>
    <n v="47"/>
    <n v="199178"/>
    <n v="0.18425729749269498"/>
    <n v="1.53"/>
    <n v="153"/>
    <n v="6742"/>
    <s v="YouTube"/>
    <n v="367"/>
  </r>
  <r>
    <x v="20"/>
    <s v="Instagram"/>
    <n v="703"/>
    <n v="441"/>
    <n v="357089"/>
    <n v="7.3371064356504964E-2"/>
    <n v="6.5"/>
    <n v="650"/>
    <n v="32478"/>
    <s v="Instagram"/>
    <n v="262"/>
  </r>
  <r>
    <x v="20"/>
    <s v="Facebook"/>
    <n v="508"/>
    <n v="69"/>
    <n v="23492"/>
    <n v="1.8687212668142346"/>
    <n v="3.16"/>
    <n v="316"/>
    <n v="42824"/>
    <s v="Facebook"/>
    <n v="439"/>
  </r>
  <r>
    <x v="20"/>
    <s v="Twitter"/>
    <n v="697"/>
    <n v="61"/>
    <n v="258287"/>
    <n v="0.24623771231227276"/>
    <n v="8.25"/>
    <n v="825"/>
    <n v="21208"/>
    <s v="Twitter"/>
    <n v="636"/>
  </r>
  <r>
    <x v="20"/>
    <s v="YouTube"/>
    <n v="1707"/>
    <n v="223"/>
    <n v="256910"/>
    <n v="0.57763419096181545"/>
    <n v="5.41"/>
    <n v="541"/>
    <n v="44321"/>
    <s v="YouTube"/>
    <n v="1484"/>
  </r>
  <r>
    <x v="21"/>
    <s v="Instagram"/>
    <n v="642"/>
    <n v="66"/>
    <n v="346522"/>
    <n v="0.166223212379012"/>
    <n v="5.85"/>
    <n v="585"/>
    <n v="13116"/>
    <s v="Instagram"/>
    <n v="576"/>
  </r>
  <r>
    <x v="21"/>
    <s v="Facebook"/>
    <n v="859"/>
    <n v="473"/>
    <n v="209987"/>
    <n v="0.18382090319876945"/>
    <n v="4.46"/>
    <n v="446"/>
    <n v="30214"/>
    <s v="Facebook"/>
    <n v="386"/>
  </r>
  <r>
    <x v="21"/>
    <s v="Twitter"/>
    <n v="191"/>
    <n v="154"/>
    <n v="240550"/>
    <n v="1.5381417584701726E-2"/>
    <n v="5.22"/>
    <n v="522"/>
    <n v="15827"/>
    <s v="Twitter"/>
    <n v="37"/>
  </r>
  <r>
    <x v="21"/>
    <s v="YouTube"/>
    <n v="1814"/>
    <n v="157"/>
    <n v="305827"/>
    <n v="0.54180958515762179"/>
    <n v="1.99"/>
    <n v="199"/>
    <n v="46643"/>
    <s v="YouTube"/>
    <n v="1657"/>
  </r>
  <r>
    <x v="22"/>
    <s v="Instagram"/>
    <n v="1466"/>
    <n v="69"/>
    <n v="54935"/>
    <n v="2.5430053699827071"/>
    <n v="6.85"/>
    <n v="685"/>
    <n v="36484"/>
    <s v="Instagram"/>
    <n v="1397"/>
  </r>
  <r>
    <x v="22"/>
    <s v="Facebook"/>
    <n v="947"/>
    <n v="407"/>
    <n v="319186"/>
    <n v="0.16918035252172714"/>
    <n v="3.32"/>
    <n v="332"/>
    <n v="4996"/>
    <s v="Facebook"/>
    <n v="540"/>
  </r>
  <r>
    <x v="22"/>
    <s v="Twitter"/>
    <n v="1821"/>
    <n v="218"/>
    <n v="439080"/>
    <n v="0.36508153411678962"/>
    <n v="5.68"/>
    <n v="568"/>
    <n v="36095"/>
    <s v="Twitter"/>
    <n v="1603"/>
  </r>
  <r>
    <x v="22"/>
    <s v="YouTube"/>
    <n v="1507"/>
    <n v="463"/>
    <n v="258944"/>
    <n v="0.40317597627286211"/>
    <n v="6.08"/>
    <n v="608"/>
    <n v="16443"/>
    <s v="YouTube"/>
    <n v="1044"/>
  </r>
  <r>
    <x v="23"/>
    <s v="Instagram"/>
    <n v="1075"/>
    <n v="173"/>
    <n v="51395"/>
    <n v="1.7550345364335054"/>
    <n v="4.66"/>
    <n v="466"/>
    <n v="47812"/>
    <s v="Instagram"/>
    <n v="902"/>
  </r>
  <r>
    <x v="23"/>
    <s v="Facebook"/>
    <n v="171"/>
    <n v="277"/>
    <n v="309483"/>
    <n v="-3.4250669665215859E-2"/>
    <n v="8.6999999999999993"/>
    <n v="869.99999999999989"/>
    <n v="38452"/>
    <s v="Facebook"/>
    <n v="-106"/>
  </r>
  <r>
    <x v="23"/>
    <s v="Twitter"/>
    <n v="1487"/>
    <n v="337"/>
    <n v="87305"/>
    <n v="1.3172212358971422"/>
    <n v="2.46"/>
    <n v="246"/>
    <n v="30428"/>
    <s v="Twitter"/>
    <n v="1150"/>
  </r>
  <r>
    <x v="23"/>
    <s v="YouTube"/>
    <n v="454"/>
    <n v="105"/>
    <n v="121091"/>
    <n v="0.28821299683708945"/>
    <n v="7.97"/>
    <n v="797"/>
    <n v="9269"/>
    <s v="YouTube"/>
    <n v="349"/>
  </r>
  <r>
    <x v="24"/>
    <s v="Instagram"/>
    <n v="187"/>
    <n v="236"/>
    <n v="51087"/>
    <n v="-9.5914811987394058E-2"/>
    <n v="9.41"/>
    <n v="941"/>
    <n v="29533"/>
    <s v="Instagram"/>
    <n v="-49"/>
  </r>
  <r>
    <x v="24"/>
    <s v="Facebook"/>
    <n v="513"/>
    <n v="441"/>
    <n v="338847"/>
    <n v="2.124852809675163E-2"/>
    <n v="2.68"/>
    <n v="268"/>
    <n v="39997"/>
    <s v="Facebook"/>
    <n v="72"/>
  </r>
  <r>
    <x v="24"/>
    <s v="Twitter"/>
    <n v="628"/>
    <n v="183"/>
    <n v="487523"/>
    <n v="9.1277744844858608E-2"/>
    <n v="7.32"/>
    <n v="732"/>
    <n v="5391"/>
    <s v="Twitter"/>
    <n v="445"/>
  </r>
  <r>
    <x v="24"/>
    <s v="YouTube"/>
    <n v="278"/>
    <n v="218"/>
    <n v="301695"/>
    <n v="1.9887634863023914E-2"/>
    <n v="4.68"/>
    <n v="468"/>
    <n v="22373"/>
    <s v="YouTube"/>
    <n v="60"/>
  </r>
  <r>
    <x v="25"/>
    <s v="Instagram"/>
    <n v="1854"/>
    <n v="161"/>
    <n v="282466"/>
    <n v="0.59936417126309005"/>
    <n v="5.17"/>
    <n v="517"/>
    <n v="1810"/>
    <s v="Instagram"/>
    <n v="1693"/>
  </r>
  <r>
    <x v="25"/>
    <s v="Facebook"/>
    <n v="1710"/>
    <n v="378"/>
    <n v="336661"/>
    <n v="0.39565022381564841"/>
    <n v="6.2"/>
    <n v="620"/>
    <n v="28498"/>
    <s v="Facebook"/>
    <n v="1332"/>
  </r>
  <r>
    <x v="25"/>
    <s v="Twitter"/>
    <n v="330"/>
    <n v="232"/>
    <n v="88455"/>
    <n v="0.11079079758069074"/>
    <n v="2.69"/>
    <n v="269"/>
    <n v="39530"/>
    <s v="Twitter"/>
    <n v="98"/>
  </r>
  <r>
    <x v="25"/>
    <s v="YouTube"/>
    <n v="1293"/>
    <n v="408"/>
    <n v="62535"/>
    <n v="1.4152074838090669"/>
    <n v="8.9"/>
    <n v="890"/>
    <n v="37876"/>
    <s v="YouTube"/>
    <n v="885"/>
  </r>
  <r>
    <x v="26"/>
    <s v="Instagram"/>
    <n v="1696"/>
    <n v="71"/>
    <n v="421957"/>
    <n v="0.38511033114748661"/>
    <n v="3.79"/>
    <n v="379"/>
    <n v="36103"/>
    <s v="Instagram"/>
    <n v="1625"/>
  </r>
  <r>
    <x v="26"/>
    <s v="Facebook"/>
    <n v="1902"/>
    <n v="196"/>
    <n v="470269"/>
    <n v="0.36277109484146308"/>
    <n v="4.79"/>
    <n v="479"/>
    <n v="26103"/>
    <s v="Facebook"/>
    <n v="1706"/>
  </r>
  <r>
    <x v="26"/>
    <s v="Twitter"/>
    <n v="1441"/>
    <n v="268"/>
    <n v="309904"/>
    <n v="0.37850431101244258"/>
    <n v="6.37"/>
    <n v="637"/>
    <n v="3455"/>
    <s v="Twitter"/>
    <n v="1173"/>
  </r>
  <r>
    <x v="26"/>
    <s v="YouTube"/>
    <n v="452"/>
    <n v="161"/>
    <n v="221274"/>
    <n v="0.13151115811166245"/>
    <n v="2.65"/>
    <n v="265"/>
    <n v="40888"/>
    <s v="YouTube"/>
    <n v="291"/>
  </r>
  <r>
    <x v="27"/>
    <s v="Instagram"/>
    <n v="1494"/>
    <n v="375"/>
    <n v="220616"/>
    <n v="0.5072161583928636"/>
    <n v="1.81"/>
    <n v="181"/>
    <n v="22724"/>
    <s v="Instagram"/>
    <n v="1119"/>
  </r>
  <r>
    <x v="27"/>
    <s v="Facebook"/>
    <n v="1514"/>
    <n v="141"/>
    <n v="35842"/>
    <n v="3.8307014117515763"/>
    <n v="7.47"/>
    <n v="747"/>
    <n v="18601"/>
    <s v="Facebook"/>
    <n v="1373"/>
  </r>
  <r>
    <x v="27"/>
    <s v="Twitter"/>
    <n v="1937"/>
    <n v="210"/>
    <n v="20607"/>
    <n v="8.3806473528412688"/>
    <n v="4.2"/>
    <n v="420"/>
    <n v="20861"/>
    <s v="Twitter"/>
    <n v="1727"/>
  </r>
  <r>
    <x v="27"/>
    <s v="YouTube"/>
    <n v="736"/>
    <n v="163"/>
    <n v="451894"/>
    <n v="0.12679964770499277"/>
    <n v="5.43"/>
    <n v="543"/>
    <n v="46625"/>
    <s v="YouTube"/>
    <n v="573"/>
  </r>
  <r>
    <x v="28"/>
    <s v="Instagram"/>
    <n v="1502"/>
    <n v="70"/>
    <n v="465553"/>
    <n v="0.30759118725472717"/>
    <n v="3.32"/>
    <n v="332"/>
    <n v="20692"/>
    <s v="Instagram"/>
    <n v="1432"/>
  </r>
  <r>
    <x v="28"/>
    <s v="Facebook"/>
    <n v="1623"/>
    <n v="246"/>
    <n v="415815"/>
    <n v="0.33115688467227011"/>
    <n v="8.11"/>
    <n v="811"/>
    <n v="18656"/>
    <s v="Facebook"/>
    <n v="1377"/>
  </r>
  <r>
    <x v="28"/>
    <s v="Twitter"/>
    <n v="1592"/>
    <n v="233"/>
    <n v="327183"/>
    <n v="0.41536387893013998"/>
    <n v="6.66"/>
    <n v="666"/>
    <n v="13316"/>
    <s v="Twitter"/>
    <n v="1359"/>
  </r>
  <r>
    <x v="28"/>
    <s v="YouTube"/>
    <n v="1004"/>
    <n v="128"/>
    <n v="488901"/>
    <n v="0.17917737946946316"/>
    <n v="8.09"/>
    <n v="809"/>
    <n v="49558"/>
    <s v="YouTube"/>
    <n v="876"/>
  </r>
  <r>
    <x v="29"/>
    <s v="Instagram"/>
    <n v="1092"/>
    <n v="408"/>
    <n v="280795"/>
    <n v="0.24359408109118752"/>
    <n v="8.44"/>
    <n v="844"/>
    <n v="4683"/>
    <s v="Instagram"/>
    <n v="684"/>
  </r>
  <r>
    <x v="29"/>
    <s v="Facebook"/>
    <n v="1155"/>
    <n v="425"/>
    <n v="93347"/>
    <n v="0.78202834584935776"/>
    <n v="2.02"/>
    <n v="202"/>
    <n v="47502"/>
    <s v="Facebook"/>
    <n v="730"/>
  </r>
  <r>
    <x v="29"/>
    <s v="Twitter"/>
    <n v="1137"/>
    <n v="226"/>
    <n v="81119"/>
    <n v="1.123041457611657"/>
    <n v="7.74"/>
    <n v="774"/>
    <n v="35359"/>
    <s v="Twitter"/>
    <n v="911"/>
  </r>
  <r>
    <x v="29"/>
    <s v="YouTube"/>
    <n v="1900"/>
    <n v="311"/>
    <n v="25177"/>
    <n v="6.3113158835445047"/>
    <n v="2.89"/>
    <n v="289"/>
    <n v="14154"/>
    <s v="YouTube"/>
    <n v="1589"/>
  </r>
  <r>
    <x v="30"/>
    <s v="Instagram"/>
    <n v="1814"/>
    <n v="49"/>
    <n v="140804"/>
    <n v="1.2535155251271271"/>
    <n v="1.76"/>
    <n v="176"/>
    <n v="4313"/>
    <s v="Instagram"/>
    <n v="1765"/>
  </r>
  <r>
    <x v="30"/>
    <s v="Facebook"/>
    <n v="1980"/>
    <n v="204"/>
    <n v="379431"/>
    <n v="0.46806929323118035"/>
    <n v="3.09"/>
    <n v="309"/>
    <n v="25140"/>
    <s v="Facebook"/>
    <n v="1776"/>
  </r>
  <r>
    <x v="30"/>
    <s v="Twitter"/>
    <n v="1786"/>
    <n v="257"/>
    <n v="274831"/>
    <n v="0.55634189738421069"/>
    <n v="4.68"/>
    <n v="468"/>
    <n v="9118"/>
    <s v="Twitter"/>
    <n v="1529"/>
  </r>
  <r>
    <x v="30"/>
    <s v="YouTube"/>
    <n v="1495"/>
    <n v="35"/>
    <n v="136845"/>
    <n v="1.0669005078738718"/>
    <n v="4.4800000000000004"/>
    <n v="448.00000000000006"/>
    <n v="39931"/>
    <s v="YouTube"/>
    <n v="1460"/>
  </r>
  <r>
    <x v="31"/>
    <s v="Instagram"/>
    <n v="1013"/>
    <n v="110"/>
    <n v="466382"/>
    <n v="0.19361810704529764"/>
    <n v="5.3"/>
    <n v="530"/>
    <n v="37132"/>
    <s v="Instagram"/>
    <n v="903"/>
  </r>
  <r>
    <x v="31"/>
    <s v="Facebook"/>
    <n v="816"/>
    <n v="196"/>
    <n v="95728"/>
    <n v="0.64766839378238339"/>
    <n v="8.1999999999999993"/>
    <n v="819.99999999999989"/>
    <n v="17951"/>
    <s v="Facebook"/>
    <n v="620"/>
  </r>
  <r>
    <x v="31"/>
    <s v="Twitter"/>
    <n v="1633"/>
    <n v="445"/>
    <n v="371156"/>
    <n v="0.32008104408927779"/>
    <n v="2.2200000000000002"/>
    <n v="222.00000000000003"/>
    <n v="2798"/>
    <s v="Twitter"/>
    <n v="1188"/>
  </r>
  <r>
    <x v="31"/>
    <s v="YouTube"/>
    <n v="891"/>
    <n v="45"/>
    <n v="95410"/>
    <n v="0.88669950738916259"/>
    <n v="8.33"/>
    <n v="833"/>
    <n v="15045"/>
    <s v="YouTube"/>
    <n v="846"/>
  </r>
  <r>
    <x v="32"/>
    <s v="Instagram"/>
    <n v="1855"/>
    <n v="133"/>
    <n v="349413"/>
    <n v="0.49282654051223052"/>
    <n v="3.3"/>
    <n v="330"/>
    <n v="14548"/>
    <s v="Instagram"/>
    <n v="1722"/>
  </r>
  <r>
    <x v="32"/>
    <s v="Facebook"/>
    <n v="651"/>
    <n v="353"/>
    <n v="224699"/>
    <n v="0.13262186302564766"/>
    <n v="5.61"/>
    <n v="561"/>
    <n v="45708"/>
    <s v="Facebook"/>
    <n v="298"/>
  </r>
  <r>
    <x v="32"/>
    <s v="Twitter"/>
    <n v="118"/>
    <n v="262"/>
    <n v="487896"/>
    <n v="-2.9514486693885584E-2"/>
    <n v="2.56"/>
    <n v="256"/>
    <n v="12350"/>
    <s v="Twitter"/>
    <n v="-144"/>
  </r>
  <r>
    <x v="32"/>
    <s v="YouTube"/>
    <n v="1331"/>
    <n v="430"/>
    <n v="14437"/>
    <n v="6.2409087760615085"/>
    <n v="3.29"/>
    <n v="329"/>
    <n v="40868"/>
    <s v="YouTube"/>
    <n v="901"/>
  </r>
  <r>
    <x v="33"/>
    <s v="Instagram"/>
    <n v="1748"/>
    <n v="176"/>
    <n v="383681"/>
    <n v="0.40971536250166152"/>
    <n v="9.24"/>
    <n v="924"/>
    <n v="43122"/>
    <s v="Instagram"/>
    <n v="1572"/>
  </r>
  <r>
    <x v="33"/>
    <s v="Facebook"/>
    <n v="663"/>
    <n v="236"/>
    <n v="479490"/>
    <n v="8.905295209493419E-2"/>
    <n v="4.51"/>
    <n v="451"/>
    <n v="23853"/>
    <s v="Facebook"/>
    <n v="427"/>
  </r>
  <r>
    <x v="33"/>
    <s v="Twitter"/>
    <n v="1040"/>
    <n v="149"/>
    <n v="124404"/>
    <n v="0.71621491270377158"/>
    <n v="5.23"/>
    <n v="523"/>
    <n v="45380"/>
    <s v="Twitter"/>
    <n v="891"/>
  </r>
  <r>
    <x v="33"/>
    <s v="YouTube"/>
    <n v="1166"/>
    <n v="442"/>
    <n v="336949"/>
    <n v="0.2148693125665902"/>
    <n v="4.68"/>
    <n v="468"/>
    <n v="7705"/>
    <s v="YouTube"/>
    <n v="724"/>
  </r>
  <r>
    <x v="34"/>
    <s v="Instagram"/>
    <n v="115"/>
    <n v="281"/>
    <n v="357265"/>
    <n v="-4.6464109274628081E-2"/>
    <n v="9.23"/>
    <n v="923"/>
    <n v="25525"/>
    <s v="Instagram"/>
    <n v="-166"/>
  </r>
  <r>
    <x v="34"/>
    <s v="Facebook"/>
    <n v="1249"/>
    <n v="351"/>
    <n v="321307"/>
    <n v="0.27948348464241363"/>
    <n v="6.37"/>
    <n v="637"/>
    <n v="20560"/>
    <s v="Facebook"/>
    <n v="898"/>
  </r>
  <r>
    <x v="34"/>
    <s v="Twitter"/>
    <n v="1501"/>
    <n v="75"/>
    <n v="262569"/>
    <n v="0.54309533874905258"/>
    <n v="2.0099999999999998"/>
    <n v="200.99999999999997"/>
    <n v="19119"/>
    <s v="Twitter"/>
    <n v="1426"/>
  </r>
  <r>
    <x v="34"/>
    <s v="YouTube"/>
    <n v="1411"/>
    <n v="186"/>
    <n v="461669"/>
    <n v="0.26534161921203286"/>
    <n v="3.72"/>
    <n v="372"/>
    <n v="43999"/>
    <s v="YouTube"/>
    <n v="1225"/>
  </r>
  <r>
    <x v="35"/>
    <s v="Instagram"/>
    <n v="1556"/>
    <n v="476"/>
    <n v="351556"/>
    <n v="0.30720567989168157"/>
    <n v="3.89"/>
    <n v="389"/>
    <n v="10825"/>
    <s v="Instagram"/>
    <n v="1080"/>
  </r>
  <r>
    <x v="35"/>
    <s v="Facebook"/>
    <n v="1159"/>
    <n v="411"/>
    <n v="135987"/>
    <n v="0.5500525785553031"/>
    <n v="8.6999999999999993"/>
    <n v="869.99999999999989"/>
    <n v="40323"/>
    <s v="Facebook"/>
    <n v="748"/>
  </r>
  <r>
    <x v="35"/>
    <s v="Twitter"/>
    <n v="927"/>
    <n v="358"/>
    <n v="177554"/>
    <n v="0.32046588643454949"/>
    <n v="6.95"/>
    <n v="695"/>
    <n v="48270"/>
    <s v="Twitter"/>
    <n v="569"/>
  </r>
  <r>
    <x v="35"/>
    <s v="YouTube"/>
    <n v="152"/>
    <n v="355"/>
    <n v="270766"/>
    <n v="-7.4972485467156139E-2"/>
    <n v="9.48"/>
    <n v="948"/>
    <n v="18001"/>
    <s v="YouTube"/>
    <n v="-203"/>
  </r>
  <r>
    <x v="36"/>
    <s v="Instagram"/>
    <n v="1957"/>
    <n v="234"/>
    <n v="222126"/>
    <n v="0.77568587198256844"/>
    <n v="4.6100000000000003"/>
    <n v="461.00000000000006"/>
    <n v="3314"/>
    <s v="Instagram"/>
    <n v="1723"/>
  </r>
  <r>
    <x v="36"/>
    <s v="Facebook"/>
    <n v="1294"/>
    <n v="382"/>
    <n v="309914"/>
    <n v="0.29427518601934727"/>
    <n v="8.0299999999999994"/>
    <n v="802.99999999999989"/>
    <n v="23489"/>
    <s v="Facebook"/>
    <n v="912"/>
  </r>
  <r>
    <x v="36"/>
    <s v="Twitter"/>
    <n v="1587"/>
    <n v="385"/>
    <n v="126582"/>
    <n v="0.94958208908059605"/>
    <n v="6.99"/>
    <n v="699"/>
    <n v="42832"/>
    <s v="Twitter"/>
    <n v="1202"/>
  </r>
  <r>
    <x v="36"/>
    <s v="YouTube"/>
    <n v="1707"/>
    <n v="263"/>
    <n v="485280"/>
    <n v="0.29756017144741181"/>
    <n v="9.0299999999999994"/>
    <n v="902.99999999999989"/>
    <n v="24494"/>
    <s v="YouTube"/>
    <n v="1444"/>
  </r>
  <r>
    <x v="37"/>
    <s v="Instagram"/>
    <n v="1138"/>
    <n v="173"/>
    <n v="453243"/>
    <n v="0.21291007252180397"/>
    <n v="2.86"/>
    <n v="286"/>
    <n v="44097"/>
    <s v="Instagram"/>
    <n v="965"/>
  </r>
  <r>
    <x v="37"/>
    <s v="Facebook"/>
    <n v="1895"/>
    <n v="305"/>
    <n v="104967"/>
    <n v="1.5147617822744293"/>
    <n v="3.85"/>
    <n v="385"/>
    <n v="31853"/>
    <s v="Facebook"/>
    <n v="1590"/>
  </r>
  <r>
    <x v="37"/>
    <s v="Twitter"/>
    <n v="362"/>
    <n v="399"/>
    <n v="145608"/>
    <n v="-2.5410691720235155E-2"/>
    <n v="7.3"/>
    <n v="730"/>
    <n v="37636"/>
    <s v="Twitter"/>
    <n v="-37"/>
  </r>
  <r>
    <x v="37"/>
    <s v="YouTube"/>
    <n v="1662"/>
    <n v="487"/>
    <n v="105980"/>
    <n v="1.1086997546706925"/>
    <n v="9.08"/>
    <n v="908"/>
    <n v="22996"/>
    <s v="YouTube"/>
    <n v="1175"/>
  </r>
  <r>
    <x v="38"/>
    <s v="Instagram"/>
    <n v="1440"/>
    <n v="65"/>
    <n v="126524"/>
    <n v="1.08675033985647"/>
    <n v="4.34"/>
    <n v="434"/>
    <n v="49772"/>
    <s v="Instagram"/>
    <n v="1375"/>
  </r>
  <r>
    <x v="38"/>
    <s v="Facebook"/>
    <n v="1884"/>
    <n v="177"/>
    <n v="230448"/>
    <n v="0.74073109768798173"/>
    <n v="7.8"/>
    <n v="780"/>
    <n v="22713"/>
    <s v="Facebook"/>
    <n v="1707"/>
  </r>
  <r>
    <x v="38"/>
    <s v="Twitter"/>
    <n v="861"/>
    <n v="153"/>
    <n v="317007"/>
    <n v="0.22333891680625351"/>
    <n v="3.85"/>
    <n v="385"/>
    <n v="8718"/>
    <s v="Twitter"/>
    <n v="708"/>
  </r>
  <r>
    <x v="38"/>
    <s v="YouTube"/>
    <n v="1063"/>
    <n v="47"/>
    <n v="464239"/>
    <n v="0.21885278918832757"/>
    <n v="6.58"/>
    <n v="658"/>
    <n v="39031"/>
    <s v="YouTube"/>
    <n v="1016"/>
  </r>
  <r>
    <x v="39"/>
    <s v="Instagram"/>
    <n v="1371"/>
    <n v="56"/>
    <n v="257579"/>
    <n v="0.51052298518124528"/>
    <n v="8.6199999999999992"/>
    <n v="861.99999999999989"/>
    <n v="33799"/>
    <s v="Instagram"/>
    <n v="1315"/>
  </r>
  <r>
    <x v="39"/>
    <s v="Facebook"/>
    <n v="345"/>
    <n v="464"/>
    <n v="366881"/>
    <n v="-3.2435585380545737E-2"/>
    <n v="4.55"/>
    <n v="455"/>
    <n v="20553"/>
    <s v="Facebook"/>
    <n v="-119"/>
  </r>
  <r>
    <x v="39"/>
    <s v="Twitter"/>
    <n v="946"/>
    <n v="47"/>
    <n v="466575"/>
    <n v="0.19268070513850935"/>
    <n v="8.33"/>
    <n v="833"/>
    <n v="10002"/>
    <s v="Twitter"/>
    <n v="899"/>
  </r>
  <r>
    <x v="39"/>
    <s v="YouTube"/>
    <n v="510"/>
    <n v="195"/>
    <n v="224534"/>
    <n v="0.14029055733207443"/>
    <n v="9.4"/>
    <n v="940"/>
    <n v="30987"/>
    <s v="YouTube"/>
    <n v="315"/>
  </r>
  <r>
    <x v="40"/>
    <s v="Instagram"/>
    <n v="393"/>
    <n v="181"/>
    <n v="462142"/>
    <n v="4.5873346287504703E-2"/>
    <n v="7.23"/>
    <n v="723"/>
    <n v="6296"/>
    <s v="Instagram"/>
    <n v="212"/>
  </r>
  <r>
    <x v="40"/>
    <s v="Facebook"/>
    <n v="1098"/>
    <n v="190"/>
    <n v="340842"/>
    <n v="0.26639909400836753"/>
    <n v="9.39"/>
    <n v="939"/>
    <n v="21539"/>
    <s v="Facebook"/>
    <n v="908"/>
  </r>
  <r>
    <x v="40"/>
    <s v="Twitter"/>
    <n v="1399"/>
    <n v="49"/>
    <n v="12471"/>
    <n v="10.825114265095021"/>
    <n v="5.12"/>
    <n v="512"/>
    <n v="14722"/>
    <s v="Twitter"/>
    <n v="1350"/>
  </r>
  <r>
    <x v="40"/>
    <s v="YouTube"/>
    <n v="1658"/>
    <n v="416"/>
    <n v="98397"/>
    <n v="1.2622336046830696"/>
    <n v="6.11"/>
    <n v="611"/>
    <n v="11383"/>
    <s v="YouTube"/>
    <n v="1242"/>
  </r>
  <r>
    <x v="41"/>
    <s v="Instagram"/>
    <n v="1102"/>
    <n v="422"/>
    <n v="410330"/>
    <n v="0.16572027392586453"/>
    <n v="7.74"/>
    <n v="774"/>
    <n v="9480"/>
    <s v="Instagram"/>
    <n v="680"/>
  </r>
  <r>
    <x v="41"/>
    <s v="Facebook"/>
    <n v="1358"/>
    <n v="242"/>
    <n v="342129"/>
    <n v="0.32619275185675578"/>
    <n v="4.9400000000000004"/>
    <n v="494.00000000000006"/>
    <n v="29116"/>
    <s v="Facebook"/>
    <n v="1116"/>
  </r>
  <r>
    <x v="41"/>
    <s v="Twitter"/>
    <n v="1077"/>
    <n v="216"/>
    <n v="12447"/>
    <n v="6.9173294769824052"/>
    <n v="1.8"/>
    <n v="180"/>
    <n v="14068"/>
    <s v="Twitter"/>
    <n v="861"/>
  </r>
  <r>
    <x v="41"/>
    <s v="YouTube"/>
    <n v="1596"/>
    <n v="211"/>
    <n v="17380"/>
    <n v="7.9689298043728432"/>
    <n v="8.64"/>
    <n v="864"/>
    <n v="35801"/>
    <s v="YouTube"/>
    <n v="1385"/>
  </r>
  <r>
    <x v="42"/>
    <s v="Instagram"/>
    <n v="490"/>
    <n v="29"/>
    <n v="364810"/>
    <n v="0.12636715002329982"/>
    <n v="1.53"/>
    <n v="153"/>
    <n v="49077"/>
    <s v="Instagram"/>
    <n v="461"/>
  </r>
  <r>
    <x v="42"/>
    <s v="Facebook"/>
    <n v="609"/>
    <n v="135"/>
    <n v="373606"/>
    <n v="0.1268716241173857"/>
    <n v="8.52"/>
    <n v="852"/>
    <n v="21453"/>
    <s v="Facebook"/>
    <n v="474"/>
  </r>
  <r>
    <x v="42"/>
    <s v="Twitter"/>
    <n v="364"/>
    <n v="72"/>
    <n v="211090"/>
    <n v="0.13832962243592781"/>
    <n v="5.53"/>
    <n v="553"/>
    <n v="21061"/>
    <s v="Twitter"/>
    <n v="292"/>
  </r>
  <r>
    <x v="42"/>
    <s v="YouTube"/>
    <n v="442"/>
    <n v="53"/>
    <n v="441931"/>
    <n v="8.8022790888170319E-2"/>
    <n v="1.87"/>
    <n v="187"/>
    <n v="20059"/>
    <s v="YouTube"/>
    <n v="389"/>
  </r>
  <r>
    <x v="43"/>
    <s v="Instagram"/>
    <n v="1033"/>
    <n v="392"/>
    <n v="282780"/>
    <n v="0.22667798288422092"/>
    <n v="6.27"/>
    <n v="627"/>
    <n v="23140"/>
    <s v="Instagram"/>
    <n v="641"/>
  </r>
  <r>
    <x v="43"/>
    <s v="Facebook"/>
    <n v="988"/>
    <n v="474"/>
    <n v="370070"/>
    <n v="0.13889264193260734"/>
    <n v="9.4600000000000009"/>
    <n v="946.00000000000011"/>
    <n v="23461"/>
    <s v="Facebook"/>
    <n v="514"/>
  </r>
  <r>
    <x v="43"/>
    <s v="Twitter"/>
    <n v="1946"/>
    <n v="270"/>
    <n v="198350"/>
    <n v="0.84497101083942527"/>
    <n v="7.5"/>
    <n v="750"/>
    <n v="11805"/>
    <s v="Twitter"/>
    <n v="1676"/>
  </r>
  <r>
    <x v="43"/>
    <s v="YouTube"/>
    <n v="1957"/>
    <n v="490"/>
    <n v="435726"/>
    <n v="0.33667947287974553"/>
    <n v="4.7300000000000004"/>
    <n v="473.00000000000006"/>
    <n v="15969"/>
    <s v="YouTube"/>
    <n v="1467"/>
  </r>
  <r>
    <x v="44"/>
    <s v="Instagram"/>
    <n v="559"/>
    <n v="392"/>
    <n v="78789"/>
    <n v="0.21195852212872357"/>
    <n v="3.19"/>
    <n v="319"/>
    <n v="2436"/>
    <s v="Instagram"/>
    <n v="167"/>
  </r>
  <r>
    <x v="44"/>
    <s v="Facebook"/>
    <n v="1307"/>
    <n v="278"/>
    <n v="98596"/>
    <n v="1.0436528865268369"/>
    <n v="2.4900000000000002"/>
    <n v="249.00000000000003"/>
    <n v="47603"/>
    <s v="Facebook"/>
    <n v="1029"/>
  </r>
  <r>
    <x v="44"/>
    <s v="Twitter"/>
    <n v="1432"/>
    <n v="425"/>
    <n v="29589"/>
    <n v="3.4032917638311533"/>
    <n v="4.5"/>
    <n v="450"/>
    <n v="42964"/>
    <s v="Twitter"/>
    <n v="1007"/>
  </r>
  <r>
    <x v="44"/>
    <s v="YouTube"/>
    <n v="623"/>
    <n v="414"/>
    <n v="290354"/>
    <n v="7.1981098934404214E-2"/>
    <n v="6.49"/>
    <n v="649"/>
    <n v="39923"/>
    <s v="YouTube"/>
    <n v="209"/>
  </r>
  <r>
    <x v="45"/>
    <s v="Instagram"/>
    <n v="198"/>
    <n v="358"/>
    <n v="66682"/>
    <n v="-0.2399448126930806"/>
    <n v="6.73"/>
    <n v="673"/>
    <n v="2293"/>
    <s v="Instagram"/>
    <n v="-160"/>
  </r>
  <r>
    <x v="45"/>
    <s v="Facebook"/>
    <n v="198"/>
    <n v="373"/>
    <n v="70707"/>
    <n v="-0.24750024750024749"/>
    <n v="4.83"/>
    <n v="483"/>
    <n v="25920"/>
    <s v="Facebook"/>
    <n v="-175"/>
  </r>
  <r>
    <x v="45"/>
    <s v="Twitter"/>
    <n v="353"/>
    <n v="300"/>
    <n v="142507"/>
    <n v="3.7191155522184875E-2"/>
    <n v="5.3"/>
    <n v="530"/>
    <n v="11035"/>
    <s v="Twitter"/>
    <n v="53"/>
  </r>
  <r>
    <x v="45"/>
    <s v="YouTube"/>
    <n v="520"/>
    <n v="375"/>
    <n v="369525"/>
    <n v="3.9239564305527365E-2"/>
    <n v="6.54"/>
    <n v="654"/>
    <n v="20733"/>
    <s v="YouTube"/>
    <n v="145"/>
  </r>
  <r>
    <x v="46"/>
    <s v="Instagram"/>
    <n v="961"/>
    <n v="358"/>
    <n v="62942"/>
    <n v="0.95802484827301337"/>
    <n v="6.8"/>
    <n v="680"/>
    <n v="18693"/>
    <s v="Instagram"/>
    <n v="603"/>
  </r>
  <r>
    <x v="46"/>
    <s v="Facebook"/>
    <n v="1375"/>
    <n v="330"/>
    <n v="377382"/>
    <n v="0.27690774864725926"/>
    <n v="2.6"/>
    <n v="260"/>
    <n v="7875"/>
    <s v="Facebook"/>
    <n v="1045"/>
  </r>
  <r>
    <x v="46"/>
    <s v="Twitter"/>
    <n v="1147"/>
    <n v="388"/>
    <n v="333851"/>
    <n v="0.22734693021737243"/>
    <n v="2.44"/>
    <n v="244"/>
    <n v="8471"/>
    <s v="Twitter"/>
    <n v="759"/>
  </r>
  <r>
    <x v="46"/>
    <s v="YouTube"/>
    <n v="1707"/>
    <n v="74"/>
    <n v="270958"/>
    <n v="0.60267642955734835"/>
    <n v="3.09"/>
    <n v="309"/>
    <n v="14090"/>
    <s v="YouTube"/>
    <n v="1633"/>
  </r>
  <r>
    <x v="47"/>
    <s v="Instagram"/>
    <n v="1693"/>
    <n v="154"/>
    <n v="445944"/>
    <n v="0.34511059684624079"/>
    <n v="5.69"/>
    <n v="569"/>
    <n v="14216"/>
    <s v="Instagram"/>
    <n v="1539"/>
  </r>
  <r>
    <x v="47"/>
    <s v="Facebook"/>
    <n v="833"/>
    <n v="380"/>
    <n v="224830"/>
    <n v="0.2014855668727483"/>
    <n v="3.86"/>
    <n v="386"/>
    <n v="3582"/>
    <s v="Facebook"/>
    <n v="453"/>
  </r>
  <r>
    <x v="47"/>
    <s v="Twitter"/>
    <n v="1222"/>
    <n v="274"/>
    <n v="487289"/>
    <n v="0.19454574184929271"/>
    <n v="3.16"/>
    <n v="316"/>
    <n v="32500"/>
    <s v="Twitter"/>
    <n v="948"/>
  </r>
  <r>
    <x v="47"/>
    <s v="YouTube"/>
    <n v="777"/>
    <n v="140"/>
    <n v="11435"/>
    <n v="5.5706165282028861"/>
    <n v="1.6"/>
    <n v="160"/>
    <n v="6832"/>
    <s v="YouTube"/>
    <n v="637"/>
  </r>
  <r>
    <x v="48"/>
    <s v="Instagram"/>
    <n v="1957"/>
    <n v="76"/>
    <n v="447902"/>
    <n v="0.41995793722733987"/>
    <n v="6.09"/>
    <n v="609"/>
    <n v="33381"/>
    <s v="Instagram"/>
    <n v="1881"/>
  </r>
  <r>
    <x v="48"/>
    <s v="Facebook"/>
    <n v="405"/>
    <n v="66"/>
    <n v="418696"/>
    <n v="8.0965664826031306E-2"/>
    <n v="5.59"/>
    <n v="559"/>
    <n v="48419"/>
    <s v="Facebook"/>
    <n v="339"/>
  </r>
  <r>
    <x v="48"/>
    <s v="Twitter"/>
    <n v="1581"/>
    <n v="71"/>
    <n v="484364"/>
    <n v="0.311749015203442"/>
    <n v="3.55"/>
    <n v="355"/>
    <n v="16149"/>
    <s v="Twitter"/>
    <n v="1510"/>
  </r>
  <r>
    <x v="48"/>
    <s v="YouTube"/>
    <n v="1035"/>
    <n v="171"/>
    <n v="148477"/>
    <n v="0.58190830903102841"/>
    <n v="5.21"/>
    <n v="521"/>
    <n v="7541"/>
    <s v="YouTube"/>
    <n v="864"/>
  </r>
  <r>
    <x v="49"/>
    <s v="Instagram"/>
    <n v="1765"/>
    <n v="109"/>
    <n v="468301"/>
    <n v="0.35361871958419905"/>
    <n v="1.82"/>
    <n v="182"/>
    <n v="20042"/>
    <s v="Instagram"/>
    <n v="1656"/>
  </r>
  <r>
    <x v="49"/>
    <s v="Facebook"/>
    <n v="837"/>
    <n v="430"/>
    <n v="364820"/>
    <n v="0.11156186612576065"/>
    <n v="4"/>
    <n v="400"/>
    <n v="49400"/>
    <s v="Facebook"/>
    <n v="407"/>
  </r>
  <r>
    <x v="49"/>
    <s v="Twitter"/>
    <n v="337"/>
    <n v="68"/>
    <n v="456298"/>
    <n v="5.8952701962314107E-2"/>
    <n v="7.57"/>
    <n v="757"/>
    <n v="4007"/>
    <s v="Twitter"/>
    <n v="269"/>
  </r>
  <r>
    <x v="49"/>
    <s v="YouTube"/>
    <n v="119"/>
    <n v="456"/>
    <n v="82558"/>
    <n v="-0.4081978730104896"/>
    <n v="6.81"/>
    <n v="681"/>
    <n v="12174"/>
    <s v="YouTube"/>
    <n v="-337"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  <r>
    <x v="50"/>
    <m/>
    <m/>
    <m/>
    <m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208">
  <r>
    <n v="0.13651761517615177"/>
    <x v="0"/>
  </r>
  <r>
    <n v="5.2059376960066905E-2"/>
    <x v="1"/>
  </r>
  <r>
    <n v="3.1063098086124407E-2"/>
    <x v="2"/>
  </r>
  <r>
    <n v="1.3400280395161555E-2"/>
    <x v="3"/>
  </r>
  <r>
    <n v="9.1229838709677435E-2"/>
    <x v="0"/>
  </r>
  <r>
    <n v="2.9909136799596163E-2"/>
    <x v="1"/>
  </r>
  <r>
    <n v="4.4995511669658886E-2"/>
    <x v="2"/>
  </r>
  <r>
    <n v="1.4902145720348974E-2"/>
    <x v="3"/>
  </r>
  <r>
    <n v="2.1714184835378233E-2"/>
    <x v="0"/>
  </r>
  <r>
    <n v="1.7377330190700663E-2"/>
    <x v="1"/>
  </r>
  <r>
    <n v="3.6429143314651719E-2"/>
    <x v="2"/>
  </r>
  <r>
    <n v="1.4354460576646239E-2"/>
    <x v="3"/>
  </r>
  <r>
    <n v="3.8337950138504155E-2"/>
    <x v="0"/>
  </r>
  <r>
    <n v="2.9769871062510198E-2"/>
    <x v="1"/>
  </r>
  <r>
    <n v="1.118925831202046E-2"/>
    <x v="2"/>
  </r>
  <r>
    <n v="0.14694335389792487"/>
    <x v="3"/>
  </r>
  <r>
    <n v="9.7846539828559481E-2"/>
    <x v="0"/>
  </r>
  <r>
    <n v="1.0589264187959441E-2"/>
    <x v="1"/>
  </r>
  <r>
    <n v="0.1046668921203923"/>
    <x v="2"/>
  </r>
  <r>
    <n v="2.9008649367930805E-2"/>
    <x v="3"/>
  </r>
  <r>
    <n v="3.8454769447377683E-2"/>
    <x v="0"/>
  </r>
  <r>
    <n v="4.9469049469049462E-3"/>
    <x v="1"/>
  </r>
  <r>
    <n v="0.15893587994542974"/>
    <x v="2"/>
  </r>
  <r>
    <n v="1.9109548138809634E-2"/>
    <x v="3"/>
  </r>
  <r>
    <n v="3.4823091247672251E-2"/>
    <x v="0"/>
  </r>
  <r>
    <n v="1.4831874712114234E-2"/>
    <x v="1"/>
  </r>
  <r>
    <n v="2.6425462291235761E-2"/>
    <x v="2"/>
  </r>
  <r>
    <n v="1.6014609819484441E-2"/>
    <x v="3"/>
  </r>
  <r>
    <n v="4.5475530932594641E-2"/>
    <x v="0"/>
  </r>
  <r>
    <n v="3.0153067096328694E-2"/>
    <x v="1"/>
  </r>
  <r>
    <n v="1.6298873729511949E-2"/>
    <x v="2"/>
  </r>
  <r>
    <n v="2.0867987297746859E-2"/>
    <x v="3"/>
  </r>
  <r>
    <n v="2.637920927506025E-2"/>
    <x v="0"/>
  </r>
  <r>
    <n v="0.15974374870841085"/>
    <x v="1"/>
  </r>
  <r>
    <n v="1.110205744550825E-2"/>
    <x v="2"/>
  </r>
  <r>
    <n v="2.070935491549631E-2"/>
    <x v="3"/>
  </r>
  <r>
    <n v="1.5881386528203152E-2"/>
    <x v="0"/>
  </r>
  <r>
    <n v="2.3095823095823097E-2"/>
    <x v="1"/>
  </r>
  <r>
    <n v="7.6146640826873391E-2"/>
    <x v="2"/>
  </r>
  <r>
    <n v="8.1827756623187222E-3"/>
    <x v="3"/>
  </r>
  <r>
    <n v="1.322689539500223E-2"/>
    <x v="0"/>
  </r>
  <r>
    <n v="1.5856264675619344E-2"/>
    <x v="1"/>
  </r>
  <r>
    <n v="2.570810030669313E-2"/>
    <x v="2"/>
  </r>
  <r>
    <n v="7.8380332610267542E-2"/>
    <x v="3"/>
  </r>
  <r>
    <n v="9.1546716993887497E-3"/>
    <x v="0"/>
  </r>
  <r>
    <n v="6.224037175244667E-2"/>
    <x v="1"/>
  </r>
  <r>
    <n v="3.2603800774565435E-2"/>
    <x v="2"/>
  </r>
  <r>
    <n v="6.0196440727414181E-2"/>
    <x v="3"/>
  </r>
  <r>
    <n v="2.29197607674708E-2"/>
    <x v="0"/>
  </r>
  <r>
    <n v="3.3574744661095633E-2"/>
    <x v="1"/>
  </r>
  <r>
    <n v="3.9328102997384831E-2"/>
    <x v="2"/>
  </r>
  <r>
    <n v="2.3778432384827963E-2"/>
    <x v="3"/>
  </r>
  <r>
    <n v="1.8927278014221893E-2"/>
    <x v="0"/>
  </r>
  <r>
    <n v="2.6287729658792655E-2"/>
    <x v="1"/>
  </r>
  <r>
    <n v="3.108888630460906E-2"/>
    <x v="2"/>
  </r>
  <r>
    <n v="3.052348568717381E-2"/>
    <x v="3"/>
  </r>
  <r>
    <n v="3.4092187675805422E-2"/>
    <x v="0"/>
  </r>
  <r>
    <n v="4.3480409111122092E-3"/>
    <x v="1"/>
  </r>
  <r>
    <n v="5.9705350219695009E-2"/>
    <x v="2"/>
  </r>
  <r>
    <n v="8.7990603895468339E-2"/>
    <x v="3"/>
  </r>
  <r>
    <n v="1.5497515839372806E-2"/>
    <x v="0"/>
  </r>
  <r>
    <n v="1.9383928195187729E-2"/>
    <x v="1"/>
  </r>
  <r>
    <n v="2.8377931945820944E-2"/>
    <x v="2"/>
  </r>
  <r>
    <n v="6.4314590224182289E-2"/>
    <x v="3"/>
  </r>
  <r>
    <n v="0.21791320406278855"/>
    <x v="0"/>
  </r>
  <r>
    <n v="6.1843542559448787E-2"/>
    <x v="1"/>
  </r>
  <r>
    <n v="3.5598301274044467E-2"/>
    <x v="2"/>
  </r>
  <r>
    <n v="2.0908880487616698E-2"/>
    <x v="3"/>
  </r>
  <r>
    <n v="1.079313164349959E-2"/>
    <x v="0"/>
  </r>
  <r>
    <n v="7.6457883369330445E-2"/>
    <x v="1"/>
  </r>
  <r>
    <n v="1.7204478103391502E-2"/>
    <x v="2"/>
  </r>
  <r>
    <n v="1.9972320968223389E-2"/>
    <x v="3"/>
  </r>
  <r>
    <n v="1.5164381899793763E-2"/>
    <x v="0"/>
  </r>
  <r>
    <n v="3.9921525686650245E-3"/>
    <x v="1"/>
  </r>
  <r>
    <n v="0.11022399645154136"/>
    <x v="2"/>
  </r>
  <r>
    <n v="3.3426784558982105E-2"/>
    <x v="3"/>
  </r>
  <r>
    <n v="2.4452564771821853E-2"/>
    <x v="0"/>
  </r>
  <r>
    <n v="5.3260123541523673E-2"/>
    <x v="1"/>
  </r>
  <r>
    <n v="1.7785012359076386E-2"/>
    <x v="2"/>
  </r>
  <r>
    <n v="2.26935627410264E-2"/>
    <x v="3"/>
  </r>
  <r>
    <n v="2.0013547632243365E-2"/>
    <x v="0"/>
  </r>
  <r>
    <n v="7.3790397907715303E-3"/>
    <x v="1"/>
  </r>
  <r>
    <n v="3.8900414937759337E-2"/>
    <x v="2"/>
  </r>
  <r>
    <n v="1.2206403285124434E-2"/>
    <x v="3"/>
  </r>
  <r>
    <n v="4.4602012808783162E-2"/>
    <x v="0"/>
  </r>
  <r>
    <n v="1.4761368901833587E-2"/>
    <x v="1"/>
  </r>
  <r>
    <n v="3.2981613698110826E-2"/>
    <x v="2"/>
  </r>
  <r>
    <n v="4.2664494136311982E-3"/>
    <x v="3"/>
  </r>
  <r>
    <n v="1.8775353579651353E-2"/>
    <x v="0"/>
  </r>
  <r>
    <n v="6.6453162530024021E-2"/>
    <x v="1"/>
  </r>
  <r>
    <n v="1.5736251558387589E-2"/>
    <x v="2"/>
  </r>
  <r>
    <n v="3.6976220884266865E-2"/>
    <x v="3"/>
  </r>
  <r>
    <n v="9.7465071530159798E-3"/>
    <x v="0"/>
  </r>
  <r>
    <n v="2.2625611151565583E-2"/>
    <x v="1"/>
  </r>
  <r>
    <n v="8.0846588668331797E-3"/>
    <x v="2"/>
  </r>
  <r>
    <n v="8.598554320854461E-2"/>
    <x v="3"/>
  </r>
  <r>
    <n v="3.1862662106795787E-2"/>
    <x v="0"/>
  </r>
  <r>
    <n v="6.7005025376903268E-3"/>
    <x v="1"/>
  </r>
  <r>
    <n v="0.13578185865331108"/>
    <x v="2"/>
  </r>
  <r>
    <n v="2.0918070889018012E-2"/>
    <x v="3"/>
  </r>
  <r>
    <n v="0.28563535911602211"/>
    <x v="0"/>
  </r>
  <r>
    <n v="2.1755912695627763E-2"/>
    <x v="1"/>
  </r>
  <r>
    <n v="6.8049582595497088E-3"/>
    <x v="2"/>
  </r>
  <r>
    <n v="2.349772943288626E-2"/>
    <x v="3"/>
  </r>
  <r>
    <n v="1.0497742569869541E-2"/>
    <x v="0"/>
  </r>
  <r>
    <n v="1.8350381182239587E-2"/>
    <x v="1"/>
  </r>
  <r>
    <n v="0.18437047756874095"/>
    <x v="2"/>
  </r>
  <r>
    <n v="6.4811191547642349E-3"/>
    <x v="3"/>
  </r>
  <r>
    <n v="7.9651469811652872E-3"/>
    <x v="0"/>
  </r>
  <r>
    <n v="4.0159131229503792E-2"/>
    <x v="1"/>
  </r>
  <r>
    <n v="2.0133263026700543E-2"/>
    <x v="2"/>
  </r>
  <r>
    <n v="1.1646112600536192E-2"/>
    <x v="3"/>
  </r>
  <r>
    <n v="1.6044848250531606E-2"/>
    <x v="0"/>
  </r>
  <r>
    <n v="4.3471269296740993E-2"/>
    <x v="1"/>
  </r>
  <r>
    <n v="5.0015019525383002E-2"/>
    <x v="2"/>
  </r>
  <r>
    <n v="1.6324306872755153E-2"/>
    <x v="3"/>
  </r>
  <r>
    <n v="0.18022635062993805"/>
    <x v="0"/>
  </r>
  <r>
    <n v="4.2524525283145972E-3"/>
    <x v="1"/>
  </r>
  <r>
    <n v="2.1889759325772785E-2"/>
    <x v="2"/>
  </r>
  <r>
    <n v="2.0418256323300833E-2"/>
    <x v="3"/>
  </r>
  <r>
    <n v="4.0806862972409E-2"/>
    <x v="0"/>
  </r>
  <r>
    <n v="1.2291169451073985E-2"/>
    <x v="1"/>
  </r>
  <r>
    <n v="5.1327045404694002E-2"/>
    <x v="2"/>
  </r>
  <r>
    <n v="1.1219353384588416E-2"/>
    <x v="3"/>
  </r>
  <r>
    <n v="1.4273402994721532E-2"/>
    <x v="0"/>
  </r>
  <r>
    <n v="4.5679906411899056E-2"/>
    <x v="1"/>
  </r>
  <r>
    <n v="7.9342387419585436E-2"/>
    <x v="2"/>
  </r>
  <r>
    <n v="5.5367231638418071E-2"/>
    <x v="3"/>
  </r>
  <r>
    <n v="2.2683530382183115E-2"/>
    <x v="0"/>
  </r>
  <r>
    <n v="1.2273562614859544E-2"/>
    <x v="1"/>
  </r>
  <r>
    <n v="2.0728744939271255E-2"/>
    <x v="2"/>
  </r>
  <r>
    <n v="8.0503083096799457E-3"/>
    <x v="3"/>
  </r>
  <r>
    <n v="2.1427577570613608E-2"/>
    <x v="0"/>
  </r>
  <r>
    <n v="1.8907474950739949E-2"/>
    <x v="1"/>
  </r>
  <r>
    <n v="1.1524900837373293E-2"/>
    <x v="2"/>
  </r>
  <r>
    <n v="6.0739779364049312E-2"/>
    <x v="3"/>
  </r>
  <r>
    <n v="3.6160626836434867E-2"/>
    <x v="0"/>
  </r>
  <r>
    <n v="3.0982490272373545E-2"/>
    <x v="1"/>
  </r>
  <r>
    <n v="1.0513102149694021E-2"/>
    <x v="2"/>
  </r>
  <r>
    <n v="8.4547376076729019E-3"/>
    <x v="3"/>
  </r>
  <r>
    <n v="3.5935334872979216E-2"/>
    <x v="0"/>
  </r>
  <r>
    <n v="2.1575775611933634E-2"/>
    <x v="1"/>
  </r>
  <r>
    <n v="1.4398176921483324E-2"/>
    <x v="2"/>
  </r>
  <r>
    <n v="5.266374090328315E-2"/>
    <x v="3"/>
  </r>
  <r>
    <n v="0.13910681955340978"/>
    <x v="0"/>
  </r>
  <r>
    <n v="3.418621482396015E-2"/>
    <x v="1"/>
  </r>
  <r>
    <n v="1.6319574150168097E-2"/>
    <x v="2"/>
  </r>
  <r>
    <n v="3.6866171307258923E-2"/>
    <x v="3"/>
  </r>
  <r>
    <n v="6.4857019751910563E-3"/>
    <x v="0"/>
  </r>
  <r>
    <n v="1.2086773616299878E-2"/>
    <x v="1"/>
  </r>
  <r>
    <n v="1.9396322669784249E-2"/>
    <x v="2"/>
  </r>
  <r>
    <n v="3.9485127848321443E-2"/>
    <x v="3"/>
  </r>
  <r>
    <n v="8.7197621152455187E-3"/>
    <x v="0"/>
  </r>
  <r>
    <n v="3.4341566503764361E-2"/>
    <x v="1"/>
  </r>
  <r>
    <n v="4.4161504932323931E-2"/>
    <x v="2"/>
  </r>
  <r>
    <n v="1.6858394609413033E-2"/>
    <x v="3"/>
  </r>
  <r>
    <n v="2.5503713127607325E-2"/>
    <x v="0"/>
  </r>
  <r>
    <n v="2.2137887413029727E-2"/>
    <x v="1"/>
  </r>
  <r>
    <n v="8.3283343331333734E-2"/>
    <x v="2"/>
  </r>
  <r>
    <n v="3.0335301900797113E-2"/>
    <x v="3"/>
  </r>
  <r>
    <n v="0.11483481575603557"/>
    <x v="0"/>
  </r>
  <r>
    <n v="4.3595338687961373E-2"/>
    <x v="1"/>
  </r>
  <r>
    <n v="3.4777883439750037E-2"/>
    <x v="2"/>
  </r>
  <r>
    <n v="5.3676535184046394E-2"/>
    <x v="3"/>
  </r>
  <r>
    <n v="8.1645569620253169E-2"/>
    <x v="0"/>
  </r>
  <r>
    <n v="1.6966616293446903E-2"/>
    <x v="1"/>
  </r>
  <r>
    <n v="1.2794995735001421E-2"/>
    <x v="2"/>
  </r>
  <r>
    <n v="2.4133404094857685E-2"/>
    <x v="3"/>
  </r>
  <r>
    <n v="3.117549972492206E-3"/>
    <x v="0"/>
  </r>
  <r>
    <n v="3.9714725213256891E-2"/>
    <x v="1"/>
  </r>
  <r>
    <n v="2.6257062817530034E-2"/>
    <x v="2"/>
  </r>
  <r>
    <n v="9.3224986290443203E-3"/>
    <x v="3"/>
  </r>
  <r>
    <n v="2.7095937770095075E-2"/>
    <x v="0"/>
  </r>
  <r>
    <n v="4.0322236903797798E-2"/>
    <x v="1"/>
  </r>
  <r>
    <n v="6.353240152477764E-2"/>
    <x v="2"/>
  </r>
  <r>
    <n v="2.9619888534034695E-2"/>
    <x v="3"/>
  </r>
  <r>
    <n v="0.13095238095238096"/>
    <x v="0"/>
  </r>
  <r>
    <n v="5.230762767052497E-3"/>
    <x v="1"/>
  </r>
  <r>
    <n v="1.0473885113117958E-2"/>
    <x v="2"/>
  </r>
  <r>
    <n v="1.6256293364727101E-2"/>
    <x v="3"/>
  </r>
  <r>
    <n v="0.29350196249454863"/>
    <x v="0"/>
  </r>
  <r>
    <n v="1.863425925925926E-2"/>
    <x v="1"/>
  </r>
  <r>
    <n v="4.8028998640688714E-2"/>
    <x v="2"/>
  </r>
  <r>
    <n v="3.1543915497033718E-2"/>
    <x v="3"/>
  </r>
  <r>
    <n v="3.6377253517359438E-2"/>
    <x v="0"/>
  </r>
  <r>
    <n v="3.3015873015873019E-2"/>
    <x v="1"/>
  </r>
  <r>
    <n v="2.8804155353559204E-2"/>
    <x v="2"/>
  </r>
  <r>
    <n v="2.1930447125621009E-2"/>
    <x v="3"/>
  </r>
  <r>
    <n v="4.0025323579065838E-2"/>
    <x v="0"/>
  </r>
  <r>
    <n v="0.1077610273590173"/>
    <x v="1"/>
  </r>
  <r>
    <n v="9.7230769230769246E-3"/>
    <x v="2"/>
  </r>
  <r>
    <n v="2.3419203747072598E-2"/>
    <x v="3"/>
  </r>
  <r>
    <n v="1.8243911206974026E-2"/>
    <x v="0"/>
  </r>
  <r>
    <n v="1.1545054627315723E-2"/>
    <x v="1"/>
  </r>
  <r>
    <n v="2.198278531178401E-2"/>
    <x v="2"/>
  </r>
  <r>
    <n v="6.9088980241347298E-2"/>
    <x v="3"/>
  </r>
  <r>
    <n v="9.0809300469015062E-3"/>
    <x v="0"/>
  </r>
  <r>
    <n v="8.0971659919028341E-3"/>
    <x v="1"/>
  </r>
  <r>
    <n v="0.18891939106563516"/>
    <x v="2"/>
  </r>
  <r>
    <n v="5.5938886150813202E-2"/>
    <x v="3"/>
  </r>
  <r>
    <m/>
    <x v="4"/>
  </r>
  <r>
    <m/>
    <x v="4"/>
  </r>
  <r>
    <m/>
    <x v="4"/>
  </r>
  <r>
    <m/>
    <x v="4"/>
  </r>
  <r>
    <m/>
    <x v="4"/>
  </r>
  <r>
    <m/>
    <x v="4"/>
  </r>
  <r>
    <m/>
    <x v="4"/>
  </r>
  <r>
    <m/>
    <x v="4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208">
  <r>
    <n v="1135"/>
    <n v="88"/>
    <n v="344084"/>
    <n v="0.30428616268120573"/>
    <n v="8.06"/>
    <n v="806"/>
    <n v="5904"/>
    <n v="-13.515243902439025"/>
    <s v="Instagram"/>
    <n v="1047"/>
    <n v="0.13651761517615177"/>
    <x v="0"/>
  </r>
  <r>
    <n v="1312"/>
    <n v="310"/>
    <n v="42654"/>
    <n v="2.3491348994232664"/>
    <n v="4.9800000000000004"/>
    <n v="498.00000000000006"/>
    <n v="9566"/>
    <n v="-5.1538783190466235"/>
    <s v="Facebook"/>
    <n v="1002"/>
    <n v="5.2059376960066905E-2"/>
    <x v="1"/>
  </r>
  <r>
    <n v="584"/>
    <n v="169"/>
    <n v="146834"/>
    <n v="0.28263208793603661"/>
    <n v="8.31"/>
    <n v="831"/>
    <n v="26752"/>
    <n v="-3.0752467105263159"/>
    <s v="Twitter"/>
    <n v="415"/>
    <n v="3.1063098086124407E-2"/>
    <x v="2"/>
  </r>
  <r>
    <n v="1535"/>
    <n v="445"/>
    <n v="395536"/>
    <n v="0.27557542170624166"/>
    <n v="4.1100000000000003"/>
    <n v="411.00000000000006"/>
    <n v="30671"/>
    <n v="-1.3266277591209938"/>
    <s v="YouTube"/>
    <n v="1090"/>
    <n v="1.3400280395161555E-2"/>
    <x v="3"/>
  </r>
  <r>
    <n v="656"/>
    <n v="139"/>
    <n v="49157"/>
    <n v="1.0517322049758935"/>
    <n v="9.0500000000000007"/>
    <n v="905.00000000000011"/>
    <n v="9920"/>
    <n v="-9.0317540322580658"/>
    <s v="Instagram"/>
    <n v="517"/>
    <n v="9.1229838709677435E-2"/>
    <x v="0"/>
  </r>
  <r>
    <n v="1697"/>
    <n v="414"/>
    <n v="316555"/>
    <n v="0.40530081660374973"/>
    <n v="2.37"/>
    <n v="237"/>
    <n v="7924"/>
    <n v="-2.96100454316002"/>
    <s v="Facebook"/>
    <n v="1283"/>
    <n v="2.9909136799596163E-2"/>
    <x v="1"/>
  </r>
  <r>
    <n v="436"/>
    <n v="250"/>
    <n v="254347"/>
    <n v="7.3128442639386351E-2"/>
    <n v="4.01"/>
    <n v="401"/>
    <n v="8912"/>
    <n v="-4.4545556552962298"/>
    <s v="Twitter"/>
    <n v="186"/>
    <n v="4.4995511669658886E-2"/>
    <x v="2"/>
  </r>
  <r>
    <n v="1197"/>
    <n v="203"/>
    <n v="413878"/>
    <n v="0.24016739232334167"/>
    <n v="3.16"/>
    <n v="316"/>
    <n v="21205"/>
    <n v="-1.4753124263145483"/>
    <s v="YouTube"/>
    <n v="994"/>
    <n v="1.4902145720348974E-2"/>
    <x v="3"/>
  </r>
  <r>
    <n v="1048"/>
    <n v="155"/>
    <n v="456946"/>
    <n v="0.19542790614208244"/>
    <n v="2.46"/>
    <n v="246"/>
    <n v="11329"/>
    <n v="-2.1497042987024448"/>
    <s v="Instagram"/>
    <n v="893"/>
    <n v="2.1714184835378233E-2"/>
    <x v="0"/>
  </r>
  <r>
    <n v="1753"/>
    <n v="371"/>
    <n v="169496"/>
    <n v="0.8153584745362723"/>
    <n v="8.11"/>
    <n v="811"/>
    <n v="46670"/>
    <n v="-1.7203556888793659"/>
    <s v="Facebook"/>
    <n v="1382"/>
    <n v="1.7377330190700663E-2"/>
    <x v="1"/>
  </r>
  <r>
    <n v="1335"/>
    <n v="40"/>
    <n v="122732"/>
    <n v="1.0551445425805821"/>
    <n v="8.19"/>
    <n v="819"/>
    <n v="22482"/>
    <n v="-3.6064851881505202"/>
    <s v="Twitter"/>
    <n v="1295"/>
    <n v="3.6429143314651719E-2"/>
    <x v="2"/>
  </r>
  <r>
    <n v="403"/>
    <n v="66"/>
    <n v="382851"/>
    <n v="8.8023800381871797E-2"/>
    <n v="3.49"/>
    <n v="349"/>
    <n v="24313"/>
    <n v="-1.4210915970879776"/>
    <s v="YouTube"/>
    <n v="337"/>
    <n v="1.4354460576646239E-2"/>
    <x v="3"/>
  </r>
  <r>
    <n v="911"/>
    <n v="282"/>
    <n v="35664"/>
    <n v="1.7636832660385824"/>
    <n v="6.92"/>
    <n v="692"/>
    <n v="18050"/>
    <n v="-3.7954570637119116"/>
    <s v="Instagram"/>
    <n v="629"/>
    <n v="3.8337950138504155E-2"/>
    <x v="0"/>
  </r>
  <r>
    <n v="1779"/>
    <n v="109"/>
    <n v="26295"/>
    <n v="6.3510173036698996"/>
    <n v="9.1199999999999992"/>
    <n v="911.99999999999989"/>
    <n v="30635"/>
    <n v="-2.9472172351885098"/>
    <s v="Facebook"/>
    <n v="1670"/>
    <n v="2.9769871062510198E-2"/>
    <x v="1"/>
  </r>
  <r>
    <n v="1238"/>
    <n v="403"/>
    <n v="298421"/>
    <n v="0.27980604582117208"/>
    <n v="3.5"/>
    <n v="350"/>
    <n v="31280"/>
    <n v="-1.1077365728900257"/>
    <s v="Twitter"/>
    <n v="835"/>
    <n v="1.118925831202046E-2"/>
    <x v="2"/>
  </r>
  <r>
    <n v="308"/>
    <n v="431"/>
    <n v="426184"/>
    <n v="-2.8860773750305036E-2"/>
    <n v="2.62"/>
    <n v="262"/>
    <n v="1783"/>
    <n v="-14.547392035894561"/>
    <s v="YouTube"/>
    <n v="-123"/>
    <n v="0.14694335389792487"/>
    <x v="3"/>
  </r>
  <r>
    <n v="226"/>
    <n v="445"/>
    <n v="419447"/>
    <n v="-5.2211602419375981E-2"/>
    <n v="9.36"/>
    <n v="936"/>
    <n v="9566"/>
    <n v="-9.6868074430273889"/>
    <s v="Instagram"/>
    <n v="-219"/>
    <n v="9.7846539828559481E-2"/>
    <x v="0"/>
  </r>
  <r>
    <n v="505"/>
    <n v="441"/>
    <n v="220020"/>
    <n v="2.9088264703208796E-2"/>
    <n v="4.4800000000000004"/>
    <n v="448.00000000000006"/>
    <n v="42307"/>
    <n v="-1.0483371546079847"/>
    <s v="Facebook"/>
    <n v="64"/>
    <n v="1.0589264187959441E-2"/>
    <x v="1"/>
  </r>
  <r>
    <n v="1420"/>
    <n v="63"/>
    <n v="315305"/>
    <n v="0.4303769366169265"/>
    <n v="6.19"/>
    <n v="619"/>
    <n v="5914"/>
    <n v="-10.362022319918836"/>
    <s v="Twitter"/>
    <n v="1357"/>
    <n v="0.1046668921203923"/>
    <x v="2"/>
  </r>
  <r>
    <n v="144"/>
    <n v="53"/>
    <n v="113678"/>
    <n v="8.0050669434719113E-2"/>
    <n v="8.7200000000000006"/>
    <n v="872.00000000000011"/>
    <n v="30060"/>
    <n v="-2.8718562874251501"/>
    <s v="YouTube"/>
    <n v="91"/>
    <n v="2.9008649367930805E-2"/>
    <x v="3"/>
  </r>
  <r>
    <n v="1757"/>
    <n v="85"/>
    <n v="58223"/>
    <n v="2.8717173625543171"/>
    <n v="8.74"/>
    <n v="874"/>
    <n v="22728"/>
    <n v="-3.8070221752903906"/>
    <s v="Instagram"/>
    <n v="1672"/>
    <n v="3.8454769447377683E-2"/>
    <x v="0"/>
  </r>
  <r>
    <n v="350"/>
    <n v="41"/>
    <n v="251694"/>
    <n v="0.12276812319721568"/>
    <n v="1.91"/>
    <n v="191"/>
    <n v="38610"/>
    <n v="-0.48974358974358978"/>
    <s v="Facebook"/>
    <n v="309"/>
    <n v="4.9469049469049462E-3"/>
    <x v="1"/>
  </r>
  <r>
    <n v="987"/>
    <n v="440"/>
    <n v="389810"/>
    <n v="0.140324773607655"/>
    <n v="4.66"/>
    <n v="466"/>
    <n v="2932"/>
    <n v="-15.734652114597544"/>
    <s v="Twitter"/>
    <n v="547"/>
    <n v="0.15893587994542974"/>
    <x v="2"/>
  </r>
  <r>
    <n v="883"/>
    <n v="369"/>
    <n v="233694"/>
    <n v="0.21994574101175038"/>
    <n v="2.88"/>
    <n v="288"/>
    <n v="15071"/>
    <n v="-1.8918452657421541"/>
    <s v="YouTube"/>
    <n v="514"/>
    <n v="1.9109548138809634E-2"/>
    <x v="3"/>
  </r>
  <r>
    <n v="1960"/>
    <n v="115"/>
    <n v="154169"/>
    <n v="1.1967386439556591"/>
    <n v="3.74"/>
    <n v="374"/>
    <n v="10740"/>
    <n v="-3.4474860335195525"/>
    <s v="Instagram"/>
    <n v="1845"/>
    <n v="3.4823091247672251E-2"/>
    <x v="0"/>
  </r>
  <r>
    <n v="170"/>
    <n v="334"/>
    <n v="334626"/>
    <n v="-4.9009939454794309E-2"/>
    <n v="6.44"/>
    <n v="644"/>
    <n v="43420"/>
    <n v="-1.4683555964993089"/>
    <s v="Facebook"/>
    <n v="-164"/>
    <n v="1.4831874712114234E-2"/>
    <x v="1"/>
  </r>
  <r>
    <n v="704"/>
    <n v="275"/>
    <n v="226002"/>
    <n v="0.18982132901478749"/>
    <n v="8.56"/>
    <n v="856"/>
    <n v="32393"/>
    <n v="-2.6161207668323407"/>
    <s v="Twitter"/>
    <n v="429"/>
    <n v="2.6425462291235761E-2"/>
    <x v="2"/>
  </r>
  <r>
    <n v="224"/>
    <n v="64"/>
    <n v="156683"/>
    <n v="0.10211701333265255"/>
    <n v="4.5599999999999996"/>
    <n v="455.99999999999994"/>
    <n v="28474"/>
    <n v="-1.5854463721289598"/>
    <s v="YouTube"/>
    <n v="160"/>
    <n v="1.6014609819484441E-2"/>
    <x v="3"/>
  </r>
  <r>
    <n v="508"/>
    <n v="349"/>
    <n v="473812"/>
    <n v="3.3557613568250697E-2"/>
    <n v="7.88"/>
    <n v="788"/>
    <n v="17328"/>
    <n v="-4.5020775623268703"/>
    <s v="Instagram"/>
    <n v="159"/>
    <n v="4.5475530932594641E-2"/>
    <x v="0"/>
  </r>
  <r>
    <n v="1391"/>
    <n v="430"/>
    <n v="295032"/>
    <n v="0.32572737872501967"/>
    <n v="7.86"/>
    <n v="786"/>
    <n v="26067"/>
    <n v="-2.9851536425365404"/>
    <s v="Facebook"/>
    <n v="961"/>
    <n v="3.0153067096328694E-2"/>
    <x v="1"/>
  </r>
  <r>
    <n v="1701"/>
    <n v="385"/>
    <n v="198278"/>
    <n v="0.66371458255580551"/>
    <n v="5.34"/>
    <n v="534"/>
    <n v="32763"/>
    <n v="-1.6135884992216829"/>
    <s v="Twitter"/>
    <n v="1316"/>
    <n v="1.6298873729511949E-2"/>
    <x v="2"/>
  </r>
  <r>
    <n v="804"/>
    <n v="487"/>
    <n v="306564"/>
    <n v="0.10340418313957282"/>
    <n v="5.52"/>
    <n v="552"/>
    <n v="26452"/>
    <n v="-2.0659307424769393"/>
    <s v="YouTube"/>
    <n v="317"/>
    <n v="2.0867987297746859E-2"/>
    <x v="3"/>
  </r>
  <r>
    <n v="653"/>
    <n v="112"/>
    <n v="23664"/>
    <n v="2.2861730899256254"/>
    <n v="4.05"/>
    <n v="405"/>
    <n v="15353"/>
    <n v="-2.6115417182309644"/>
    <s v="Instagram"/>
    <n v="541"/>
    <n v="2.637920927506025E-2"/>
    <x v="0"/>
  </r>
  <r>
    <n v="160"/>
    <n v="478"/>
    <n v="435034"/>
    <n v="-7.309773488968678E-2"/>
    <n v="7.73"/>
    <n v="773"/>
    <n v="4839"/>
    <n v="-15.814631122132672"/>
    <s v="Facebook"/>
    <n v="-318"/>
    <n v="0.15974374870841085"/>
    <x v="1"/>
  </r>
  <r>
    <n v="1756"/>
    <n v="261"/>
    <n v="287574"/>
    <n v="0.51986619096302167"/>
    <n v="4.3600000000000003"/>
    <n v="436.00000000000006"/>
    <n v="39272"/>
    <n v="-1.0991036871053168"/>
    <s v="Twitter"/>
    <n v="1495"/>
    <n v="1.110205744550825E-2"/>
    <x v="2"/>
  </r>
  <r>
    <n v="576"/>
    <n v="101"/>
    <n v="62499"/>
    <n v="0.76001216019456308"/>
    <n v="3.48"/>
    <n v="348"/>
    <n v="16804"/>
    <n v="-2.0502261366341346"/>
    <s v="YouTube"/>
    <n v="475"/>
    <n v="2.070935491549631E-2"/>
    <x v="3"/>
  </r>
  <r>
    <n v="645"/>
    <n v="293"/>
    <n v="437968"/>
    <n v="8.0371168669857163E-2"/>
    <n v="7.83"/>
    <n v="783"/>
    <n v="49303"/>
    <n v="-1.5722572662921117"/>
    <s v="Instagram"/>
    <n v="352"/>
    <n v="1.5881386528203152E-2"/>
    <x v="0"/>
  </r>
  <r>
    <n v="214"/>
    <n v="411"/>
    <n v="125034"/>
    <n v="-0.15755714445670779"/>
    <n v="6.11"/>
    <n v="611"/>
    <n v="26455"/>
    <n v="-2.2864864864864867"/>
    <s v="Facebook"/>
    <n v="-197"/>
    <n v="2.3095823095823097E-2"/>
    <x v="1"/>
  </r>
  <r>
    <n v="826"/>
    <n v="498"/>
    <n v="449994"/>
    <n v="7.2889860753698937E-2"/>
    <n v="9.43"/>
    <n v="943"/>
    <n v="12384"/>
    <n v="-7.5385174418604652"/>
    <s v="Twitter"/>
    <n v="328"/>
    <n v="7.6146640826873391E-2"/>
    <x v="2"/>
  </r>
  <r>
    <n v="460"/>
    <n v="141"/>
    <n v="320650"/>
    <n v="9.9485420240137221E-2"/>
    <n v="4.04"/>
    <n v="404"/>
    <n v="49372"/>
    <n v="-0.81009479056955347"/>
    <s v="YouTube"/>
    <n v="319"/>
    <n v="8.1827756623187222E-3"/>
    <x v="3"/>
  </r>
  <r>
    <n v="1528"/>
    <n v="203"/>
    <n v="489188"/>
    <n v="0.27085701202809553"/>
    <n v="6.23"/>
    <n v="623"/>
    <n v="47101"/>
    <n v="-1.3094626441052206"/>
    <s v="Instagram"/>
    <n v="1325"/>
    <n v="1.322689539500223E-2"/>
    <x v="0"/>
  </r>
  <r>
    <n v="1534"/>
    <n v="200"/>
    <n v="307612"/>
    <n v="0.43366318609156984"/>
    <n v="6.01"/>
    <n v="601"/>
    <n v="37903"/>
    <n v="-1.5697702028863152"/>
    <s v="Facebook"/>
    <n v="1334"/>
    <n v="1.5856264675619344E-2"/>
    <x v="1"/>
  </r>
  <r>
    <n v="485"/>
    <n v="448"/>
    <n v="434883"/>
    <n v="8.5080354946042956E-3"/>
    <n v="8.5500000000000007"/>
    <n v="855.00000000000011"/>
    <n v="33258"/>
    <n v="-2.5451019303626197"/>
    <s v="Twitter"/>
    <n v="37"/>
    <n v="2.570810030669313E-2"/>
    <x v="2"/>
  </r>
  <r>
    <n v="1210"/>
    <n v="178"/>
    <n v="102042"/>
    <n v="1.011348268360087"/>
    <n v="5.42"/>
    <n v="542"/>
    <n v="6915"/>
    <n v="-7.7596529284164868"/>
    <s v="YouTube"/>
    <n v="1032"/>
    <n v="7.8380332610267542E-2"/>
    <x v="3"/>
  </r>
  <r>
    <n v="215"/>
    <n v="139"/>
    <n v="325444"/>
    <n v="2.335271198731579E-2"/>
    <n v="3.25"/>
    <n v="325"/>
    <n v="35501"/>
    <n v="-0.90631249823948623"/>
    <s v="Instagram"/>
    <n v="76"/>
    <n v="9.1546716993887497E-3"/>
    <x v="0"/>
  </r>
  <r>
    <n v="1078"/>
    <n v="20"/>
    <n v="183924"/>
    <n v="0.57523759813836151"/>
    <n v="8.84"/>
    <n v="884"/>
    <n v="14203"/>
    <n v="-6.1617968034922201"/>
    <s v="Facebook"/>
    <n v="1058"/>
    <n v="6.224037175244667E-2"/>
    <x v="1"/>
  </r>
  <r>
    <n v="1751"/>
    <n v="86"/>
    <n v="188655"/>
    <n v="0.88256340939810773"/>
    <n v="7.24"/>
    <n v="724"/>
    <n v="22206"/>
    <n v="-3.2277762766819778"/>
    <s v="Twitter"/>
    <n v="1665"/>
    <n v="3.2603800774565435E-2"/>
    <x v="2"/>
  </r>
  <r>
    <n v="221"/>
    <n v="31"/>
    <n v="87443"/>
    <n v="0.21728440241071326"/>
    <n v="6.19"/>
    <n v="619"/>
    <n v="10283"/>
    <n v="-5.9594476320140028"/>
    <s v="YouTube"/>
    <n v="190"/>
    <n v="6.0196440727414181E-2"/>
    <x v="3"/>
  </r>
  <r>
    <n v="1685"/>
    <n v="76"/>
    <n v="453799"/>
    <n v="0.35456226214689768"/>
    <n v="5.71"/>
    <n v="571"/>
    <n v="24913"/>
    <n v="-2.2690563159796091"/>
    <s v="Instagram"/>
    <n v="1609"/>
    <n v="2.29197607674708E-2"/>
    <x v="0"/>
  </r>
  <r>
    <n v="248"/>
    <n v="211"/>
    <n v="379380"/>
    <n v="9.7527544941747053E-3"/>
    <n v="9.0399999999999991"/>
    <n v="903.99999999999989"/>
    <n v="26925"/>
    <n v="-3.323899721448468"/>
    <s v="Facebook"/>
    <n v="37"/>
    <n v="3.3574744661095633E-2"/>
    <x v="1"/>
  </r>
  <r>
    <n v="1300"/>
    <n v="71"/>
    <n v="186454"/>
    <n v="0.65914381026955704"/>
    <n v="3.91"/>
    <n v="391"/>
    <n v="9942"/>
    <n v="-3.8934821967410977"/>
    <s v="Twitter"/>
    <n v="1229"/>
    <n v="3.9328102997384831E-2"/>
    <x v="2"/>
  </r>
  <r>
    <n v="422"/>
    <n v="394"/>
    <n v="239044"/>
    <n v="1.1713324743561855E-2"/>
    <n v="7.83"/>
    <n v="783"/>
    <n v="32929"/>
    <n v="-2.3540648060979685"/>
    <s v="YouTube"/>
    <n v="28"/>
    <n v="2.3778432384827963E-2"/>
    <x v="3"/>
  </r>
  <r>
    <n v="1429"/>
    <n v="182"/>
    <n v="101332"/>
    <n v="1.2306082974775983"/>
    <n v="7.16"/>
    <n v="716"/>
    <n v="37829"/>
    <n v="-1.8738005234079673"/>
    <s v="Instagram"/>
    <n v="1247"/>
    <n v="1.8927278014221893E-2"/>
    <x v="0"/>
  </r>
  <r>
    <n v="1520"/>
    <n v="475"/>
    <n v="496982"/>
    <n v="0.21026918479944948"/>
    <n v="6.41"/>
    <n v="641"/>
    <n v="24384"/>
    <n v="-2.6024852362204727"/>
    <s v="Facebook"/>
    <n v="1045"/>
    <n v="2.6287729658792655E-2"/>
    <x v="1"/>
  </r>
  <r>
    <n v="557"/>
    <n v="360"/>
    <n v="318779"/>
    <n v="6.1798299135137513E-2"/>
    <n v="8.02"/>
    <n v="802"/>
    <n v="25797"/>
    <n v="-3.0777997441562972"/>
    <s v="Twitter"/>
    <n v="197"/>
    <n v="3.108888630460906E-2"/>
    <x v="2"/>
  </r>
  <r>
    <n v="728"/>
    <n v="395"/>
    <n v="370971"/>
    <n v="8.9764429025449427E-2"/>
    <n v="3.86"/>
    <n v="386"/>
    <n v="12646"/>
    <n v="-3.0218250830302074"/>
    <s v="YouTube"/>
    <n v="333"/>
    <n v="3.052348568717381E-2"/>
    <x v="3"/>
  </r>
  <r>
    <n v="1592"/>
    <n v="20"/>
    <n v="378054"/>
    <n v="0.41581361392816901"/>
    <n v="9.09"/>
    <n v="909"/>
    <n v="26663"/>
    <n v="-3.3751265799047365"/>
    <s v="Instagram"/>
    <n v="1572"/>
    <n v="3.4092187675805422E-2"/>
    <x v="0"/>
  </r>
  <r>
    <n v="1842"/>
    <n v="414"/>
    <n v="307524"/>
    <n v="0.46435400163889645"/>
    <n v="1.76"/>
    <n v="176"/>
    <n v="40478"/>
    <n v="-0.43045605020010874"/>
    <s v="Facebook"/>
    <n v="1428"/>
    <n v="4.3480409111122092E-3"/>
    <x v="1"/>
  </r>
  <r>
    <n v="751"/>
    <n v="491"/>
    <n v="434047"/>
    <n v="5.990134708914012E-2"/>
    <n v="9.24"/>
    <n v="924"/>
    <n v="15476"/>
    <n v="-5.9108296717498057"/>
    <s v="Twitter"/>
    <n v="260"/>
    <n v="5.9705350219695009E-2"/>
    <x v="2"/>
  </r>
  <r>
    <n v="1409"/>
    <n v="309"/>
    <n v="64583"/>
    <n v="1.703234597339857"/>
    <n v="8.99"/>
    <n v="899"/>
    <n v="10217"/>
    <n v="-8.7110697856513646"/>
    <s v="YouTube"/>
    <n v="1100"/>
    <n v="8.7990603895468339E-2"/>
    <x v="3"/>
  </r>
  <r>
    <n v="778"/>
    <n v="401"/>
    <n v="50793"/>
    <n v="0.74222825979957874"/>
    <n v="3.4"/>
    <n v="340"/>
    <n v="21939"/>
    <n v="-1.5342540680979078"/>
    <s v="Instagram"/>
    <n v="377"/>
    <n v="1.5497515839372806E-2"/>
    <x v="0"/>
  </r>
  <r>
    <n v="443"/>
    <n v="345"/>
    <n v="474162"/>
    <n v="2.0668041724136478E-2"/>
    <n v="9.1999999999999993"/>
    <n v="919.99999999999989"/>
    <n v="47462"/>
    <n v="-1.919008891323585"/>
    <s v="Facebook"/>
    <n v="98"/>
    <n v="1.9383928195187729E-2"/>
    <x v="1"/>
  </r>
  <r>
    <n v="1472"/>
    <n v="347"/>
    <n v="392355"/>
    <n v="0.2867301296020186"/>
    <n v="8.59"/>
    <n v="859"/>
    <n v="30270"/>
    <n v="-2.8094152626362732"/>
    <s v="Twitter"/>
    <n v="1125"/>
    <n v="2.8377931945820944E-2"/>
    <x v="2"/>
  </r>
  <r>
    <n v="123"/>
    <n v="155"/>
    <n v="119934"/>
    <n v="-2.6681341404439108E-2"/>
    <n v="3.5"/>
    <n v="350"/>
    <n v="5442"/>
    <n v="-6.3671444321940465"/>
    <s v="YouTube"/>
    <n v="-32"/>
    <n v="6.4314590224182289E-2"/>
    <x v="3"/>
  </r>
  <r>
    <n v="817"/>
    <n v="151"/>
    <n v="422625"/>
    <n v="0.15758651286601597"/>
    <n v="2.36"/>
    <n v="236"/>
    <n v="1083"/>
    <n v="-21.573407202216067"/>
    <s v="Instagram"/>
    <n v="666"/>
    <n v="0.21791320406278855"/>
    <x v="0"/>
  </r>
  <r>
    <n v="198"/>
    <n v="217"/>
    <n v="239753"/>
    <n v="-7.924822629956663E-3"/>
    <n v="7.36"/>
    <n v="736"/>
    <n v="11901"/>
    <n v="-6.12251071338543"/>
    <s v="Facebook"/>
    <n v="-19"/>
    <n v="6.1843542559448787E-2"/>
    <x v="1"/>
  </r>
  <r>
    <n v="1911"/>
    <n v="231"/>
    <n v="268516"/>
    <n v="0.62566104068286432"/>
    <n v="8.5500000000000007"/>
    <n v="855.00000000000011"/>
    <n v="24018"/>
    <n v="-3.5242318261304026"/>
    <s v="Twitter"/>
    <n v="1680"/>
    <n v="3.5598301274044467E-2"/>
    <x v="2"/>
  </r>
  <r>
    <n v="1218"/>
    <n v="212"/>
    <n v="63177"/>
    <n v="1.592351646960128"/>
    <n v="8.1300000000000008"/>
    <n v="813.00000000000011"/>
    <n v="38883"/>
    <n v="-2.0699791682740534"/>
    <s v="YouTube"/>
    <n v="1006"/>
    <n v="2.0908880487616698E-2"/>
    <x v="3"/>
  </r>
  <r>
    <n v="1433"/>
    <n v="408"/>
    <n v="370269"/>
    <n v="0.27682576721248608"/>
    <n v="3.3"/>
    <n v="330"/>
    <n v="30575"/>
    <n v="-1.0685200327064595"/>
    <s v="Instagram"/>
    <n v="1025"/>
    <n v="1.079313164349959E-2"/>
    <x v="0"/>
  </r>
  <r>
    <n v="250"/>
    <n v="429"/>
    <n v="453423"/>
    <n v="-3.9477485703195474E-2"/>
    <n v="1.77"/>
    <n v="177"/>
    <n v="2315"/>
    <n v="-7.5693304535637145"/>
    <s v="Facebook"/>
    <n v="-179"/>
    <n v="7.6457883369330445E-2"/>
    <x v="1"/>
  </r>
  <r>
    <n v="752"/>
    <n v="153"/>
    <n v="64906"/>
    <n v="0.92287307798970819"/>
    <n v="2.09"/>
    <n v="209"/>
    <n v="12148"/>
    <n v="-1.7032433322357587"/>
    <s v="Twitter"/>
    <n v="599"/>
    <n v="1.7204478103391502E-2"/>
    <x v="2"/>
  </r>
  <r>
    <n v="1918"/>
    <n v="212"/>
    <n v="94360"/>
    <n v="1.8079694785926241"/>
    <n v="7.36"/>
    <n v="736"/>
    <n v="36851"/>
    <n v="-1.9772597758541153"/>
    <s v="YouTube"/>
    <n v="1706"/>
    <n v="1.9972320968223389E-2"/>
    <x v="3"/>
  </r>
  <r>
    <n v="1939"/>
    <n v="67"/>
    <n v="187183"/>
    <n v="1.000090820213374"/>
    <n v="6.25"/>
    <n v="625"/>
    <n v="41215"/>
    <n v="-1.5012738080795827"/>
    <s v="Instagram"/>
    <n v="1872"/>
    <n v="1.5164381899793763E-2"/>
    <x v="0"/>
  </r>
  <r>
    <n v="1929"/>
    <n v="267"/>
    <n v="379363"/>
    <n v="0.43810281972675247"/>
    <n v="1.75"/>
    <n v="175"/>
    <n v="43836"/>
    <n v="-0.39522310429783741"/>
    <s v="Facebook"/>
    <n v="1662"/>
    <n v="3.9921525686650245E-3"/>
    <x v="1"/>
  </r>
  <r>
    <n v="437"/>
    <n v="330"/>
    <n v="476486"/>
    <n v="2.2456063766826309E-2"/>
    <n v="4.97"/>
    <n v="497"/>
    <n v="4509"/>
    <n v="-10.912175648702595"/>
    <s v="Twitter"/>
    <n v="107"/>
    <n v="0.11022399645154136"/>
    <x v="2"/>
  </r>
  <r>
    <n v="307"/>
    <n v="189"/>
    <n v="117767"/>
    <n v="0.10019784829366461"/>
    <n v="9.3000000000000007"/>
    <n v="930.00000000000011"/>
    <n v="27822"/>
    <n v="-3.3092516713392284"/>
    <s v="YouTube"/>
    <n v="118"/>
    <n v="3.3426784558982105E-2"/>
    <x v="3"/>
  </r>
  <r>
    <n v="1527"/>
    <n v="303"/>
    <n v="388555"/>
    <n v="0.31501331857780751"/>
    <n v="8.9"/>
    <n v="890"/>
    <n v="36397"/>
    <n v="-2.4208039124103635"/>
    <s v="Instagram"/>
    <n v="1224"/>
    <n v="2.4452564771821853E-2"/>
    <x v="0"/>
  </r>
  <r>
    <n v="643"/>
    <n v="358"/>
    <n v="157599"/>
    <n v="0.18083871090552606"/>
    <n v="3.88"/>
    <n v="388"/>
    <n v="7285"/>
    <n v="-5.2727522306108447"/>
    <s v="Facebook"/>
    <n v="285"/>
    <n v="5.3260123541523673E-2"/>
    <x v="1"/>
  </r>
  <r>
    <n v="201"/>
    <n v="221"/>
    <n v="309772"/>
    <n v="-6.4563614529395824E-3"/>
    <n v="5.9"/>
    <n v="590"/>
    <n v="33174"/>
    <n v="-1.7607162235485623"/>
    <s v="Twitter"/>
    <n v="-20"/>
    <n v="1.7785012359076386E-2"/>
    <x v="2"/>
  </r>
  <r>
    <n v="414"/>
    <n v="47"/>
    <n v="199178"/>
    <n v="0.18425729749269498"/>
    <n v="1.53"/>
    <n v="153"/>
    <n v="6742"/>
    <n v="-2.2466627113616138"/>
    <s v="YouTube"/>
    <n v="367"/>
    <n v="2.26935627410264E-2"/>
    <x v="3"/>
  </r>
  <r>
    <n v="703"/>
    <n v="441"/>
    <n v="357089"/>
    <n v="7.3371064356504964E-2"/>
    <n v="6.5"/>
    <n v="650"/>
    <n v="32478"/>
    <n v="-1.9813412155920931"/>
    <s v="Instagram"/>
    <n v="262"/>
    <n v="2.0013547632243365E-2"/>
    <x v="0"/>
  </r>
  <r>
    <n v="508"/>
    <n v="69"/>
    <n v="23492"/>
    <n v="1.8687212668142346"/>
    <n v="3.16"/>
    <n v="316"/>
    <n v="42824"/>
    <n v="-0.7305249392863814"/>
    <s v="Facebook"/>
    <n v="439"/>
    <n v="7.3790397907715303E-3"/>
    <x v="1"/>
  </r>
  <r>
    <n v="697"/>
    <n v="61"/>
    <n v="258287"/>
    <n v="0.24623771231227276"/>
    <n v="8.25"/>
    <n v="825"/>
    <n v="21208"/>
    <n v="-3.8511410788381744"/>
    <s v="Twitter"/>
    <n v="636"/>
    <n v="3.8900414937759337E-2"/>
    <x v="2"/>
  </r>
  <r>
    <n v="1707"/>
    <n v="223"/>
    <n v="256910"/>
    <n v="0.57763419096181545"/>
    <n v="5.41"/>
    <n v="541"/>
    <n v="44321"/>
    <n v="-1.2084339252273191"/>
    <s v="YouTube"/>
    <n v="1484"/>
    <n v="1.2206403285124434E-2"/>
    <x v="3"/>
  </r>
  <r>
    <n v="642"/>
    <n v="66"/>
    <n v="346522"/>
    <n v="0.166223212379012"/>
    <n v="5.85"/>
    <n v="585"/>
    <n v="13116"/>
    <n v="-4.4155992680695331"/>
    <s v="Instagram"/>
    <n v="576"/>
    <n v="4.4602012808783162E-2"/>
    <x v="0"/>
  </r>
  <r>
    <n v="859"/>
    <n v="473"/>
    <n v="209987"/>
    <n v="0.18382090319876945"/>
    <n v="4.46"/>
    <n v="446"/>
    <n v="30214"/>
    <n v="-1.4613755212815251"/>
    <s v="Facebook"/>
    <n v="386"/>
    <n v="1.4761368901833587E-2"/>
    <x v="1"/>
  </r>
  <r>
    <n v="191"/>
    <n v="154"/>
    <n v="240550"/>
    <n v="1.5381417584701726E-2"/>
    <n v="5.22"/>
    <n v="522"/>
    <n v="15827"/>
    <n v="-3.2651797561129716"/>
    <s v="Twitter"/>
    <n v="37"/>
    <n v="3.2981613698110826E-2"/>
    <x v="2"/>
  </r>
  <r>
    <n v="1814"/>
    <n v="157"/>
    <n v="305827"/>
    <n v="0.54180958515762179"/>
    <n v="1.99"/>
    <n v="199"/>
    <n v="46643"/>
    <n v="-0.42237849194948868"/>
    <s v="YouTube"/>
    <n v="1657"/>
    <n v="4.2664494136311982E-3"/>
    <x v="3"/>
  </r>
  <r>
    <n v="1466"/>
    <n v="69"/>
    <n v="54935"/>
    <n v="2.5430053699827071"/>
    <n v="6.85"/>
    <n v="685"/>
    <n v="36484"/>
    <n v="-1.8587600043854839"/>
    <s v="Instagram"/>
    <n v="1397"/>
    <n v="1.8775353579651353E-2"/>
    <x v="0"/>
  </r>
  <r>
    <n v="947"/>
    <n v="407"/>
    <n v="319186"/>
    <n v="0.16918035252172714"/>
    <n v="3.32"/>
    <n v="332"/>
    <n v="4996"/>
    <n v="-6.5788630904723782"/>
    <s v="Facebook"/>
    <n v="540"/>
    <n v="6.6453162530024021E-2"/>
    <x v="1"/>
  </r>
  <r>
    <n v="1821"/>
    <n v="218"/>
    <n v="439080"/>
    <n v="0.36508153411678962"/>
    <n v="5.68"/>
    <n v="568"/>
    <n v="36095"/>
    <n v="-1.5578889042803714"/>
    <s v="Twitter"/>
    <n v="1603"/>
    <n v="1.5736251558387589E-2"/>
    <x v="2"/>
  </r>
  <r>
    <n v="1507"/>
    <n v="463"/>
    <n v="258944"/>
    <n v="0.40317597627286211"/>
    <n v="6.08"/>
    <n v="608"/>
    <n v="16443"/>
    <n v="-3.6606458675424189"/>
    <s v="YouTube"/>
    <n v="1044"/>
    <n v="3.6976220884266865E-2"/>
    <x v="3"/>
  </r>
  <r>
    <n v="1075"/>
    <n v="173"/>
    <n v="51395"/>
    <n v="1.7550345364335054"/>
    <n v="4.66"/>
    <n v="466"/>
    <n v="47812"/>
    <n v="-0.9649042081485818"/>
    <s v="Instagram"/>
    <n v="902"/>
    <n v="9.7465071530159798E-3"/>
    <x v="0"/>
  </r>
  <r>
    <n v="171"/>
    <n v="277"/>
    <n v="309483"/>
    <n v="-3.4250669665215859E-2"/>
    <n v="8.6999999999999993"/>
    <n v="869.99999999999989"/>
    <n v="38452"/>
    <n v="-2.2399355040049929"/>
    <s v="Facebook"/>
    <n v="-106"/>
    <n v="2.2625611151565583E-2"/>
    <x v="1"/>
  </r>
  <r>
    <n v="1487"/>
    <n v="337"/>
    <n v="87305"/>
    <n v="1.3172212358971422"/>
    <n v="2.46"/>
    <n v="246"/>
    <n v="30428"/>
    <n v="-0.8003812278164848"/>
    <s v="Twitter"/>
    <n v="1150"/>
    <n v="8.0846588668331797E-3"/>
    <x v="2"/>
  </r>
  <r>
    <n v="454"/>
    <n v="105"/>
    <n v="121091"/>
    <n v="0.28821299683708945"/>
    <n v="7.97"/>
    <n v="797"/>
    <n v="9269"/>
    <n v="-8.5125687776459174"/>
    <s v="YouTube"/>
    <n v="349"/>
    <n v="8.598554320854461E-2"/>
    <x v="3"/>
  </r>
  <r>
    <n v="187"/>
    <n v="236"/>
    <n v="51087"/>
    <n v="-9.5914811987394058E-2"/>
    <n v="9.41"/>
    <n v="941"/>
    <n v="29533"/>
    <n v="-3.154403548572783"/>
    <s v="Instagram"/>
    <n v="-49"/>
    <n v="3.1862662106795787E-2"/>
    <x v="0"/>
  </r>
  <r>
    <n v="513"/>
    <n v="441"/>
    <n v="338847"/>
    <n v="2.124852809675163E-2"/>
    <n v="2.68"/>
    <n v="268"/>
    <n v="39997"/>
    <n v="-0.66334975123134232"/>
    <s v="Facebook"/>
    <n v="72"/>
    <n v="6.7005025376903268E-3"/>
    <x v="1"/>
  </r>
  <r>
    <n v="628"/>
    <n v="183"/>
    <n v="487523"/>
    <n v="9.1277744844858608E-2"/>
    <n v="7.32"/>
    <n v="732"/>
    <n v="5391"/>
    <n v="-13.442404006677796"/>
    <s v="Twitter"/>
    <n v="445"/>
    <n v="0.13578185865331108"/>
    <x v="2"/>
  </r>
  <r>
    <n v="278"/>
    <n v="218"/>
    <n v="301695"/>
    <n v="1.9887634863023914E-2"/>
    <n v="4.68"/>
    <n v="468"/>
    <n v="22373"/>
    <n v="-2.0708890180127835"/>
    <s v="YouTube"/>
    <n v="60"/>
    <n v="2.0918070889018012E-2"/>
    <x v="3"/>
  </r>
  <r>
    <n v="1854"/>
    <n v="161"/>
    <n v="282466"/>
    <n v="0.59936417126309005"/>
    <n v="5.17"/>
    <n v="517"/>
    <n v="1810"/>
    <n v="-28.277900552486184"/>
    <s v="Instagram"/>
    <n v="1693"/>
    <n v="0.28563535911602211"/>
    <x v="0"/>
  </r>
  <r>
    <n v="1710"/>
    <n v="378"/>
    <n v="336661"/>
    <n v="0.39565022381564841"/>
    <n v="6.2"/>
    <n v="620"/>
    <n v="28498"/>
    <n v="-2.1538353568671487"/>
    <s v="Facebook"/>
    <n v="1332"/>
    <n v="2.1755912695627763E-2"/>
    <x v="1"/>
  </r>
  <r>
    <n v="330"/>
    <n v="232"/>
    <n v="88455"/>
    <n v="0.11079079758069074"/>
    <n v="2.69"/>
    <n v="269"/>
    <n v="39530"/>
    <n v="-0.67369086769542119"/>
    <s v="Twitter"/>
    <n v="98"/>
    <n v="6.8049582595497088E-3"/>
    <x v="2"/>
  </r>
  <r>
    <n v="1293"/>
    <n v="408"/>
    <n v="62535"/>
    <n v="1.4152074838090669"/>
    <n v="8.9"/>
    <n v="890"/>
    <n v="37876"/>
    <n v="-2.3262752138557401"/>
    <s v="YouTube"/>
    <n v="885"/>
    <n v="2.349772943288626E-2"/>
    <x v="3"/>
  </r>
  <r>
    <n v="1696"/>
    <n v="71"/>
    <n v="421957"/>
    <n v="0.38511033114748661"/>
    <n v="3.79"/>
    <n v="379"/>
    <n v="36103"/>
    <n v="-1.0392765144170844"/>
    <s v="Instagram"/>
    <n v="1625"/>
    <n v="1.0497742569869541E-2"/>
    <x v="0"/>
  </r>
  <r>
    <n v="1902"/>
    <n v="196"/>
    <n v="470269"/>
    <n v="0.36277109484146308"/>
    <n v="4.79"/>
    <n v="479"/>
    <n v="26103"/>
    <n v="-1.8166877370417192"/>
    <s v="Facebook"/>
    <n v="1706"/>
    <n v="1.8350381182239587E-2"/>
    <x v="1"/>
  </r>
  <r>
    <n v="1441"/>
    <n v="268"/>
    <n v="309904"/>
    <n v="0.37850431101244258"/>
    <n v="6.37"/>
    <n v="637"/>
    <n v="3455"/>
    <n v="-18.252677279305356"/>
    <s v="Twitter"/>
    <n v="1173"/>
    <n v="0.18437047756874095"/>
    <x v="2"/>
  </r>
  <r>
    <n v="452"/>
    <n v="161"/>
    <n v="221274"/>
    <n v="0.13151115811166245"/>
    <n v="2.65"/>
    <n v="265"/>
    <n v="40888"/>
    <n v="-0.6416307963216592"/>
    <s v="YouTube"/>
    <n v="291"/>
    <n v="6.4811191547642349E-3"/>
    <x v="3"/>
  </r>
  <r>
    <n v="1494"/>
    <n v="375"/>
    <n v="220616"/>
    <n v="0.5072161583928636"/>
    <n v="1.81"/>
    <n v="181"/>
    <n v="22724"/>
    <n v="-0.7885495511353634"/>
    <s v="Instagram"/>
    <n v="1119"/>
    <n v="7.9651469811652872E-3"/>
    <x v="0"/>
  </r>
  <r>
    <n v="1514"/>
    <n v="141"/>
    <n v="35842"/>
    <n v="3.8307014117515763"/>
    <n v="7.47"/>
    <n v="747"/>
    <n v="18601"/>
    <n v="-3.9757539917208748"/>
    <s v="Facebook"/>
    <n v="1373"/>
    <n v="4.0159131229503792E-2"/>
    <x v="1"/>
  </r>
  <r>
    <n v="1937"/>
    <n v="210"/>
    <n v="20607"/>
    <n v="8.3806473528412688"/>
    <n v="4.2"/>
    <n v="420"/>
    <n v="20861"/>
    <n v="-1.9931930396433535"/>
    <s v="Twitter"/>
    <n v="1727"/>
    <n v="2.0133263026700543E-2"/>
    <x v="2"/>
  </r>
  <r>
    <n v="736"/>
    <n v="163"/>
    <n v="451894"/>
    <n v="0.12679964770499277"/>
    <n v="5.43"/>
    <n v="543"/>
    <n v="46625"/>
    <n v="-1.1529651474530831"/>
    <s v="YouTube"/>
    <n v="573"/>
    <n v="1.1646112600536192E-2"/>
    <x v="3"/>
  </r>
  <r>
    <n v="1502"/>
    <n v="70"/>
    <n v="465553"/>
    <n v="0.30759118725472717"/>
    <n v="3.32"/>
    <n v="332"/>
    <n v="20692"/>
    <n v="-1.5884399768026292"/>
    <s v="Instagram"/>
    <n v="1432"/>
    <n v="1.6044848250531606E-2"/>
    <x v="0"/>
  </r>
  <r>
    <n v="1623"/>
    <n v="246"/>
    <n v="415815"/>
    <n v="0.33115688467227011"/>
    <n v="8.11"/>
    <n v="811"/>
    <n v="18656"/>
    <n v="-4.3036556603773581"/>
    <s v="Facebook"/>
    <n v="1377"/>
    <n v="4.3471269296740993E-2"/>
    <x v="1"/>
  </r>
  <r>
    <n v="1592"/>
    <n v="233"/>
    <n v="327183"/>
    <n v="0.41536387893013998"/>
    <n v="6.66"/>
    <n v="666"/>
    <n v="13316"/>
    <n v="-4.9514869330129168"/>
    <s v="Twitter"/>
    <n v="1359"/>
    <n v="5.0015019525383002E-2"/>
    <x v="2"/>
  </r>
  <r>
    <n v="1004"/>
    <n v="128"/>
    <n v="488901"/>
    <n v="0.17917737946946316"/>
    <n v="8.09"/>
    <n v="809"/>
    <n v="49558"/>
    <n v="-1.6161063804027604"/>
    <s v="YouTube"/>
    <n v="876"/>
    <n v="1.6324306872755153E-2"/>
    <x v="3"/>
  </r>
  <r>
    <n v="1092"/>
    <n v="408"/>
    <n v="280795"/>
    <n v="0.24359408109118752"/>
    <n v="8.44"/>
    <n v="844"/>
    <n v="4683"/>
    <n v="-17.84240871236387"/>
    <s v="Instagram"/>
    <n v="684"/>
    <n v="0.18022635062993805"/>
    <x v="0"/>
  </r>
  <r>
    <n v="1155"/>
    <n v="425"/>
    <n v="93347"/>
    <n v="0.78202834584935776"/>
    <n v="2.02"/>
    <n v="202"/>
    <n v="47502"/>
    <n v="-0.42099280030314506"/>
    <s v="Facebook"/>
    <n v="730"/>
    <n v="4.2524525283145972E-3"/>
    <x v="1"/>
  </r>
  <r>
    <n v="1137"/>
    <n v="226"/>
    <n v="81119"/>
    <n v="1.123041457611657"/>
    <n v="7.74"/>
    <n v="774"/>
    <n v="35359"/>
    <n v="-2.1670861732515059"/>
    <s v="Twitter"/>
    <n v="911"/>
    <n v="2.1889759325772785E-2"/>
    <x v="2"/>
  </r>
  <r>
    <n v="1900"/>
    <n v="311"/>
    <n v="25177"/>
    <n v="6.3113158835445047"/>
    <n v="2.89"/>
    <n v="289"/>
    <n v="14154"/>
    <n v="-2.0214073760067826"/>
    <s v="YouTube"/>
    <n v="1589"/>
    <n v="2.0418256323300833E-2"/>
    <x v="3"/>
  </r>
  <r>
    <n v="1814"/>
    <n v="49"/>
    <n v="140804"/>
    <n v="1.2535155251271271"/>
    <n v="1.76"/>
    <n v="176"/>
    <n v="4313"/>
    <n v="-4.0398794342684914"/>
    <s v="Instagram"/>
    <n v="1765"/>
    <n v="4.0806862972409E-2"/>
    <x v="0"/>
  </r>
  <r>
    <n v="1980"/>
    <n v="204"/>
    <n v="379431"/>
    <n v="0.46806929323118035"/>
    <n v="3.09"/>
    <n v="309"/>
    <n v="25140"/>
    <n v="-1.2168257756563245"/>
    <s v="Facebook"/>
    <n v="1776"/>
    <n v="1.2291169451073985E-2"/>
    <x v="1"/>
  </r>
  <r>
    <n v="1786"/>
    <n v="257"/>
    <n v="274831"/>
    <n v="0.55634189738421069"/>
    <n v="4.68"/>
    <n v="468"/>
    <n v="9118"/>
    <n v="-5.0813774950647073"/>
    <s v="Twitter"/>
    <n v="1529"/>
    <n v="5.1327045404694002E-2"/>
    <x v="2"/>
  </r>
  <r>
    <n v="1495"/>
    <n v="35"/>
    <n v="136845"/>
    <n v="1.0669005078738718"/>
    <n v="4.4800000000000004"/>
    <n v="448.00000000000006"/>
    <n v="39931"/>
    <n v="-1.1107159850742532"/>
    <s v="YouTube"/>
    <n v="1460"/>
    <n v="1.1219353384588416E-2"/>
    <x v="3"/>
  </r>
  <r>
    <n v="1013"/>
    <n v="110"/>
    <n v="466382"/>
    <n v="0.19361810704529764"/>
    <n v="5.3"/>
    <n v="530"/>
    <n v="37132"/>
    <n v="-1.413066896477432"/>
    <s v="Instagram"/>
    <n v="903"/>
    <n v="1.4273402994721532E-2"/>
    <x v="0"/>
  </r>
  <r>
    <n v="816"/>
    <n v="196"/>
    <n v="95728"/>
    <n v="0.64766839378238339"/>
    <n v="8.1999999999999993"/>
    <n v="819.99999999999989"/>
    <n v="17951"/>
    <n v="-4.5223107347780056"/>
    <s v="Facebook"/>
    <n v="620"/>
    <n v="4.5679906411899056E-2"/>
    <x v="1"/>
  </r>
  <r>
    <n v="1633"/>
    <n v="445"/>
    <n v="371156"/>
    <n v="0.32008104408927779"/>
    <n v="2.2200000000000002"/>
    <n v="222.00000000000003"/>
    <n v="2798"/>
    <n v="-7.8548963545389583"/>
    <s v="Twitter"/>
    <n v="1188"/>
    <n v="7.9342387419585436E-2"/>
    <x v="2"/>
  </r>
  <r>
    <n v="891"/>
    <n v="45"/>
    <n v="95410"/>
    <n v="0.88669950738916259"/>
    <n v="8.33"/>
    <n v="833"/>
    <n v="15045"/>
    <n v="-5.4813559322033898"/>
    <s v="YouTube"/>
    <n v="846"/>
    <n v="5.5367231638418071E-2"/>
    <x v="3"/>
  </r>
  <r>
    <n v="1855"/>
    <n v="133"/>
    <n v="349413"/>
    <n v="0.49282654051223052"/>
    <n v="3.3"/>
    <n v="330"/>
    <n v="14548"/>
    <n v="-2.2456695078361286"/>
    <s v="Instagram"/>
    <n v="1722"/>
    <n v="2.2683530382183115E-2"/>
    <x v="0"/>
  </r>
  <r>
    <n v="651"/>
    <n v="353"/>
    <n v="224699"/>
    <n v="0.13262186302564766"/>
    <n v="5.61"/>
    <n v="561"/>
    <n v="45708"/>
    <n v="-1.2150826988710948"/>
    <s v="Facebook"/>
    <n v="298"/>
    <n v="1.2273562614859544E-2"/>
    <x v="1"/>
  </r>
  <r>
    <n v="118"/>
    <n v="262"/>
    <n v="487896"/>
    <n v="-2.9514486693885584E-2"/>
    <n v="2.56"/>
    <n v="256"/>
    <n v="12350"/>
    <n v="-2.0521457489878543"/>
    <s v="Twitter"/>
    <n v="-144"/>
    <n v="2.0728744939271255E-2"/>
    <x v="2"/>
  </r>
  <r>
    <n v="1331"/>
    <n v="430"/>
    <n v="14437"/>
    <n v="6.2409087760615085"/>
    <n v="3.29"/>
    <n v="329"/>
    <n v="40868"/>
    <n v="-0.79698052265831443"/>
    <s v="YouTube"/>
    <n v="901"/>
    <n v="8.0503083096799457E-3"/>
    <x v="3"/>
  </r>
  <r>
    <n v="1748"/>
    <n v="176"/>
    <n v="383681"/>
    <n v="0.40971536250166152"/>
    <n v="9.24"/>
    <n v="924"/>
    <n v="43122"/>
    <n v="-2.1213301794907471"/>
    <s v="Instagram"/>
    <n v="1572"/>
    <n v="2.1427577570613608E-2"/>
    <x v="0"/>
  </r>
  <r>
    <n v="663"/>
    <n v="236"/>
    <n v="479490"/>
    <n v="8.905295209493419E-2"/>
    <n v="4.51"/>
    <n v="451"/>
    <n v="23853"/>
    <n v="-1.871840020123255"/>
    <s v="Facebook"/>
    <n v="427"/>
    <n v="1.8907474950739949E-2"/>
    <x v="1"/>
  </r>
  <r>
    <n v="1040"/>
    <n v="149"/>
    <n v="124404"/>
    <n v="0.71621491270377158"/>
    <n v="5.23"/>
    <n v="523"/>
    <n v="45380"/>
    <n v="-1.1409651828999559"/>
    <s v="Twitter"/>
    <n v="891"/>
    <n v="1.1524900837373293E-2"/>
    <x v="2"/>
  </r>
  <r>
    <n v="1166"/>
    <n v="442"/>
    <n v="336949"/>
    <n v="0.2148693125665902"/>
    <n v="4.68"/>
    <n v="468"/>
    <n v="7705"/>
    <n v="-6.0132381570408819"/>
    <s v="YouTube"/>
    <n v="724"/>
    <n v="6.0739779364049312E-2"/>
    <x v="3"/>
  </r>
  <r>
    <n v="115"/>
    <n v="281"/>
    <n v="357265"/>
    <n v="-4.6464109274628081E-2"/>
    <n v="9.23"/>
    <n v="923"/>
    <n v="25525"/>
    <n v="-3.5799020568070516"/>
    <s v="Instagram"/>
    <n v="-166"/>
    <n v="3.6160626836434867E-2"/>
    <x v="0"/>
  </r>
  <r>
    <n v="1249"/>
    <n v="351"/>
    <n v="321307"/>
    <n v="0.27948348464241363"/>
    <n v="6.37"/>
    <n v="637"/>
    <n v="20560"/>
    <n v="-3.0672665369649805"/>
    <s v="Facebook"/>
    <n v="898"/>
    <n v="3.0982490272373545E-2"/>
    <x v="1"/>
  </r>
  <r>
    <n v="1501"/>
    <n v="75"/>
    <n v="262569"/>
    <n v="0.54309533874905258"/>
    <n v="2.0099999999999998"/>
    <n v="200.99999999999997"/>
    <n v="19119"/>
    <n v="-1.040797112819708"/>
    <s v="Twitter"/>
    <n v="1426"/>
    <n v="1.0513102149694021E-2"/>
    <x v="2"/>
  </r>
  <r>
    <n v="1411"/>
    <n v="186"/>
    <n v="461669"/>
    <n v="0.26534161921203286"/>
    <n v="3.72"/>
    <n v="372"/>
    <n v="43999"/>
    <n v="-0.83701902315961729"/>
    <s v="YouTube"/>
    <n v="1225"/>
    <n v="8.4547376076729019E-3"/>
    <x v="3"/>
  </r>
  <r>
    <n v="1556"/>
    <n v="476"/>
    <n v="351556"/>
    <n v="0.30720567989168157"/>
    <n v="3.89"/>
    <n v="389"/>
    <n v="10825"/>
    <n v="-3.557598152424942"/>
    <s v="Instagram"/>
    <n v="1080"/>
    <n v="3.5935334872979216E-2"/>
    <x v="0"/>
  </r>
  <r>
    <n v="1159"/>
    <n v="411"/>
    <n v="135987"/>
    <n v="0.5500525785553031"/>
    <n v="8.6999999999999993"/>
    <n v="869.99999999999989"/>
    <n v="40323"/>
    <n v="-2.1360017855814295"/>
    <s v="Facebook"/>
    <n v="748"/>
    <n v="2.1575775611933634E-2"/>
    <x v="1"/>
  </r>
  <r>
    <n v="927"/>
    <n v="358"/>
    <n v="177554"/>
    <n v="0.32046588643454949"/>
    <n v="6.95"/>
    <n v="695"/>
    <n v="48270"/>
    <n v="-1.425419515226849"/>
    <s v="Twitter"/>
    <n v="569"/>
    <n v="1.4398176921483324E-2"/>
    <x v="2"/>
  </r>
  <r>
    <n v="152"/>
    <n v="355"/>
    <n v="270766"/>
    <n v="-7.4972485467156139E-2"/>
    <n v="9.48"/>
    <n v="948"/>
    <n v="18001"/>
    <n v="-5.2137103494250319"/>
    <s v="YouTube"/>
    <n v="-203"/>
    <n v="5.266374090328315E-2"/>
    <x v="3"/>
  </r>
  <r>
    <n v="1957"/>
    <n v="234"/>
    <n v="222126"/>
    <n v="0.77568587198256844"/>
    <n v="4.6100000000000003"/>
    <n v="461.00000000000006"/>
    <n v="3314"/>
    <n v="-13.77157513578757"/>
    <s v="Instagram"/>
    <n v="1723"/>
    <n v="0.13910681955340978"/>
    <x v="0"/>
  </r>
  <r>
    <n v="1294"/>
    <n v="382"/>
    <n v="309914"/>
    <n v="0.29427518601934727"/>
    <n v="8.0299999999999994"/>
    <n v="802.99999999999989"/>
    <n v="23489"/>
    <n v="-3.3844352675720542"/>
    <s v="Facebook"/>
    <n v="912"/>
    <n v="3.418621482396015E-2"/>
    <x v="1"/>
  </r>
  <r>
    <n v="1587"/>
    <n v="385"/>
    <n v="126582"/>
    <n v="0.94958208908059605"/>
    <n v="6.99"/>
    <n v="699"/>
    <n v="42832"/>
    <n v="-1.6156378408666416"/>
    <s v="Twitter"/>
    <n v="1202"/>
    <n v="1.6319574150168097E-2"/>
    <x v="2"/>
  </r>
  <r>
    <n v="1707"/>
    <n v="263"/>
    <n v="485280"/>
    <n v="0.29756017144741181"/>
    <n v="9.0299999999999994"/>
    <n v="902.99999999999989"/>
    <n v="24494"/>
    <n v="-3.649750959418633"/>
    <s v="YouTube"/>
    <n v="1444"/>
    <n v="3.6866171307258923E-2"/>
    <x v="3"/>
  </r>
  <r>
    <n v="1138"/>
    <n v="173"/>
    <n v="453243"/>
    <n v="0.21291007252180397"/>
    <n v="2.86"/>
    <n v="286"/>
    <n v="44097"/>
    <n v="-0.64208449554391456"/>
    <s v="Instagram"/>
    <n v="965"/>
    <n v="6.4857019751910563E-3"/>
    <x v="0"/>
  </r>
  <r>
    <n v="1895"/>
    <n v="305"/>
    <n v="104967"/>
    <n v="1.5147617822744293"/>
    <n v="3.85"/>
    <n v="385"/>
    <n v="31853"/>
    <n v="-1.1965905880136878"/>
    <s v="Facebook"/>
    <n v="1590"/>
    <n v="1.2086773616299878E-2"/>
    <x v="1"/>
  </r>
  <r>
    <n v="362"/>
    <n v="399"/>
    <n v="145608"/>
    <n v="-2.5410691720235155E-2"/>
    <n v="7.3"/>
    <n v="730"/>
    <n v="37636"/>
    <n v="-1.9202359443086408"/>
    <s v="Twitter"/>
    <n v="-37"/>
    <n v="1.9396322669784249E-2"/>
    <x v="2"/>
  </r>
  <r>
    <n v="1662"/>
    <n v="487"/>
    <n v="105980"/>
    <n v="1.1086997546706925"/>
    <n v="9.08"/>
    <n v="908"/>
    <n v="22996"/>
    <n v="-3.9090276569838234"/>
    <s v="YouTube"/>
    <n v="1175"/>
    <n v="3.9485127848321443E-2"/>
    <x v="3"/>
  </r>
  <r>
    <n v="1440"/>
    <n v="65"/>
    <n v="126524"/>
    <n v="1.08675033985647"/>
    <n v="4.34"/>
    <n v="434"/>
    <n v="49772"/>
    <n v="-0.86325644940930657"/>
    <s v="Instagram"/>
    <n v="1375"/>
    <n v="8.7197621152455187E-3"/>
    <x v="0"/>
  </r>
  <r>
    <n v="1884"/>
    <n v="177"/>
    <n v="230448"/>
    <n v="0.74073109768798173"/>
    <n v="7.8"/>
    <n v="780"/>
    <n v="22713"/>
    <n v="-3.3998150838726726"/>
    <s v="Facebook"/>
    <n v="1707"/>
    <n v="3.4341566503764361E-2"/>
    <x v="1"/>
  </r>
  <r>
    <n v="861"/>
    <n v="153"/>
    <n v="317007"/>
    <n v="0.22333891680625351"/>
    <n v="3.85"/>
    <n v="385"/>
    <n v="8718"/>
    <n v="-4.3719889883000684"/>
    <s v="Twitter"/>
    <n v="708"/>
    <n v="4.4161504932323931E-2"/>
    <x v="2"/>
  </r>
  <r>
    <n v="1063"/>
    <n v="47"/>
    <n v="464239"/>
    <n v="0.21885278918832757"/>
    <n v="6.58"/>
    <n v="658"/>
    <n v="39031"/>
    <n v="-1.6689810663318898"/>
    <s v="YouTube"/>
    <n v="1016"/>
    <n v="1.6858394609413033E-2"/>
    <x v="3"/>
  </r>
  <r>
    <n v="1371"/>
    <n v="56"/>
    <n v="257579"/>
    <n v="0.51052298518124528"/>
    <n v="8.6199999999999992"/>
    <n v="861.99999999999989"/>
    <n v="33799"/>
    <n v="-2.5248675996331249"/>
    <s v="Instagram"/>
    <n v="1315"/>
    <n v="2.5503713127607325E-2"/>
    <x v="0"/>
  </r>
  <r>
    <n v="345"/>
    <n v="464"/>
    <n v="366881"/>
    <n v="-3.2435585380545737E-2"/>
    <n v="4.55"/>
    <n v="455"/>
    <n v="20553"/>
    <n v="-2.1916508538899429"/>
    <s v="Facebook"/>
    <n v="-119"/>
    <n v="2.2137887413029727E-2"/>
    <x v="1"/>
  </r>
  <r>
    <n v="946"/>
    <n v="47"/>
    <n v="466575"/>
    <n v="0.19268070513850935"/>
    <n v="8.33"/>
    <n v="833"/>
    <n v="10002"/>
    <n v="-8.2450509898020385"/>
    <s v="Twitter"/>
    <n v="899"/>
    <n v="8.3283343331333734E-2"/>
    <x v="2"/>
  </r>
  <r>
    <n v="510"/>
    <n v="195"/>
    <n v="224534"/>
    <n v="0.14029055733207443"/>
    <n v="9.4"/>
    <n v="940"/>
    <n v="30987"/>
    <n v="-3.0031948881789137"/>
    <s v="YouTube"/>
    <n v="315"/>
    <n v="3.0335301900797113E-2"/>
    <x v="3"/>
  </r>
  <r>
    <n v="393"/>
    <n v="181"/>
    <n v="462142"/>
    <n v="4.5873346287504703E-2"/>
    <n v="7.23"/>
    <n v="723"/>
    <n v="6296"/>
    <n v="-11.368646759847522"/>
    <s v="Instagram"/>
    <n v="212"/>
    <n v="0.11483481575603557"/>
    <x v="0"/>
  </r>
  <r>
    <n v="1098"/>
    <n v="190"/>
    <n v="340842"/>
    <n v="0.26639909400836753"/>
    <n v="9.39"/>
    <n v="939"/>
    <n v="21539"/>
    <n v="-4.3159385301081761"/>
    <s v="Facebook"/>
    <n v="908"/>
    <n v="4.3595338687961373E-2"/>
    <x v="1"/>
  </r>
  <r>
    <n v="1399"/>
    <n v="49"/>
    <n v="12471"/>
    <n v="10.825114265095021"/>
    <n v="5.12"/>
    <n v="512"/>
    <n v="14722"/>
    <n v="-3.4430104605352536"/>
    <s v="Twitter"/>
    <n v="1350"/>
    <n v="3.4777883439750037E-2"/>
    <x v="2"/>
  </r>
  <r>
    <n v="1658"/>
    <n v="416"/>
    <n v="98397"/>
    <n v="1.2622336046830696"/>
    <n v="6.11"/>
    <n v="611"/>
    <n v="11383"/>
    <n v="-5.3139769832205914"/>
    <s v="YouTube"/>
    <n v="1242"/>
    <n v="5.3676535184046394E-2"/>
    <x v="3"/>
  </r>
  <r>
    <n v="1102"/>
    <n v="422"/>
    <n v="410330"/>
    <n v="0.16572027392586453"/>
    <n v="7.74"/>
    <n v="774"/>
    <n v="9480"/>
    <n v="-8.0829113924050642"/>
    <s v="Instagram"/>
    <n v="680"/>
    <n v="8.1645569620253169E-2"/>
    <x v="0"/>
  </r>
  <r>
    <n v="1358"/>
    <n v="242"/>
    <n v="342129"/>
    <n v="0.32619275185675578"/>
    <n v="4.9400000000000004"/>
    <n v="494.00000000000006"/>
    <n v="29116"/>
    <n v="-1.6796950130512436"/>
    <s v="Facebook"/>
    <n v="1116"/>
    <n v="1.6966616293446903E-2"/>
    <x v="1"/>
  </r>
  <r>
    <n v="1077"/>
    <n v="216"/>
    <n v="12447"/>
    <n v="6.9173294769824052"/>
    <n v="1.8"/>
    <n v="180"/>
    <n v="14068"/>
    <n v="-1.2667045777651407"/>
    <s v="Twitter"/>
    <n v="861"/>
    <n v="1.2794995735001421E-2"/>
    <x v="2"/>
  </r>
  <r>
    <n v="1596"/>
    <n v="211"/>
    <n v="17380"/>
    <n v="7.9689298043728432"/>
    <n v="8.64"/>
    <n v="864"/>
    <n v="35801"/>
    <n v="-2.3892070053909107"/>
    <s v="YouTube"/>
    <n v="1385"/>
    <n v="2.4133404094857685E-2"/>
    <x v="3"/>
  </r>
  <r>
    <n v="490"/>
    <n v="29"/>
    <n v="364810"/>
    <n v="0.12636715002329982"/>
    <n v="1.53"/>
    <n v="153"/>
    <n v="49077"/>
    <n v="-0.30863744727672837"/>
    <s v="Instagram"/>
    <n v="461"/>
    <n v="3.117549972492206E-3"/>
    <x v="0"/>
  </r>
  <r>
    <n v="609"/>
    <n v="135"/>
    <n v="373606"/>
    <n v="0.1268716241173857"/>
    <n v="8.52"/>
    <n v="852"/>
    <n v="21453"/>
    <n v="-3.9317577961124317"/>
    <s v="Facebook"/>
    <n v="474"/>
    <n v="3.9714725213256891E-2"/>
    <x v="1"/>
  </r>
  <r>
    <n v="364"/>
    <n v="72"/>
    <n v="211090"/>
    <n v="0.13832962243592781"/>
    <n v="5.53"/>
    <n v="553"/>
    <n v="21061"/>
    <n v="-2.5994492189354732"/>
    <s v="Twitter"/>
    <n v="292"/>
    <n v="2.6257062817530034E-2"/>
    <x v="2"/>
  </r>
  <r>
    <n v="442"/>
    <n v="53"/>
    <n v="441931"/>
    <n v="8.8022790888170319E-2"/>
    <n v="1.87"/>
    <n v="187"/>
    <n v="20059"/>
    <n v="-0.92292736427538757"/>
    <s v="YouTube"/>
    <n v="389"/>
    <n v="9.3224986290443203E-3"/>
    <x v="3"/>
  </r>
  <r>
    <n v="1033"/>
    <n v="392"/>
    <n v="282780"/>
    <n v="0.22667798288422092"/>
    <n v="6.27"/>
    <n v="627"/>
    <n v="23140"/>
    <n v="-2.6824978392394123"/>
    <s v="Instagram"/>
    <n v="641"/>
    <n v="2.7095937770095075E-2"/>
    <x v="0"/>
  </r>
  <r>
    <n v="988"/>
    <n v="474"/>
    <n v="370070"/>
    <n v="0.13889264193260734"/>
    <n v="9.4600000000000009"/>
    <n v="946.00000000000011"/>
    <n v="23461"/>
    <n v="-3.9919014534759816"/>
    <s v="Facebook"/>
    <n v="514"/>
    <n v="4.0322236903797798E-2"/>
    <x v="1"/>
  </r>
  <r>
    <n v="1946"/>
    <n v="270"/>
    <n v="198350"/>
    <n v="0.84497101083942527"/>
    <n v="7.5"/>
    <n v="750"/>
    <n v="11805"/>
    <n v="-6.289707750952986"/>
    <s v="Twitter"/>
    <n v="1676"/>
    <n v="6.353240152477764E-2"/>
    <x v="2"/>
  </r>
  <r>
    <n v="1957"/>
    <n v="490"/>
    <n v="435726"/>
    <n v="0.33667947287974553"/>
    <n v="4.7300000000000004"/>
    <n v="473.00000000000006"/>
    <n v="15969"/>
    <n v="-2.9323689648694349"/>
    <s v="YouTube"/>
    <n v="1467"/>
    <n v="2.9619888534034695E-2"/>
    <x v="3"/>
  </r>
  <r>
    <n v="559"/>
    <n v="392"/>
    <n v="78789"/>
    <n v="0.21195852212872357"/>
    <n v="3.19"/>
    <n v="319"/>
    <n v="2436"/>
    <n v="-12.964285714285714"/>
    <s v="Instagram"/>
    <n v="167"/>
    <n v="0.13095238095238096"/>
    <x v="0"/>
  </r>
  <r>
    <n v="1307"/>
    <n v="278"/>
    <n v="98596"/>
    <n v="1.0436528865268369"/>
    <n v="2.4900000000000002"/>
    <n v="249.00000000000003"/>
    <n v="47603"/>
    <n v="-0.51784551393819722"/>
    <s v="Facebook"/>
    <n v="1029"/>
    <n v="5.230762767052497E-3"/>
    <x v="1"/>
  </r>
  <r>
    <n v="1432"/>
    <n v="425"/>
    <n v="29589"/>
    <n v="3.4032917638311533"/>
    <n v="4.5"/>
    <n v="450"/>
    <n v="42964"/>
    <n v="-1.0369146261986781"/>
    <s v="Twitter"/>
    <n v="1007"/>
    <n v="1.0473885113117958E-2"/>
    <x v="2"/>
  </r>
  <r>
    <n v="623"/>
    <n v="414"/>
    <n v="290354"/>
    <n v="7.1981098934404214E-2"/>
    <n v="6.49"/>
    <n v="649"/>
    <n v="39923"/>
    <n v="-1.6093730431079829"/>
    <s v="YouTube"/>
    <n v="209"/>
    <n v="1.6256293364727101E-2"/>
    <x v="3"/>
  </r>
  <r>
    <n v="198"/>
    <n v="358"/>
    <n v="66682"/>
    <n v="-0.2399448126930806"/>
    <n v="6.73"/>
    <n v="673"/>
    <n v="2293"/>
    <n v="-29.056694286960312"/>
    <s v="Instagram"/>
    <n v="-160"/>
    <n v="0.29350196249454863"/>
    <x v="0"/>
  </r>
  <r>
    <n v="198"/>
    <n v="373"/>
    <n v="70707"/>
    <n v="-0.24750024750024749"/>
    <n v="4.83"/>
    <n v="483"/>
    <n v="25920"/>
    <n v="-1.8447916666666668"/>
    <s v="Facebook"/>
    <n v="-175"/>
    <n v="1.863425925925926E-2"/>
    <x v="1"/>
  </r>
  <r>
    <n v="353"/>
    <n v="300"/>
    <n v="142507"/>
    <n v="3.7191155522184875E-2"/>
    <n v="5.3"/>
    <n v="530"/>
    <n v="11035"/>
    <n v="-4.7548708654281828"/>
    <s v="Twitter"/>
    <n v="53"/>
    <n v="4.8028998640688714E-2"/>
    <x v="2"/>
  </r>
  <r>
    <n v="520"/>
    <n v="375"/>
    <n v="369525"/>
    <n v="3.9239564305527365E-2"/>
    <n v="6.54"/>
    <n v="654"/>
    <n v="20733"/>
    <n v="-3.1228476342063378"/>
    <s v="YouTube"/>
    <n v="145"/>
    <n v="3.1543915497033718E-2"/>
    <x v="3"/>
  </r>
  <r>
    <n v="961"/>
    <n v="358"/>
    <n v="62942"/>
    <n v="0.95802484827301337"/>
    <n v="6.8"/>
    <n v="680"/>
    <n v="18693"/>
    <n v="-3.6013480982185846"/>
    <s v="Instagram"/>
    <n v="603"/>
    <n v="3.6377253517359438E-2"/>
    <x v="0"/>
  </r>
  <r>
    <n v="1375"/>
    <n v="330"/>
    <n v="377382"/>
    <n v="0.27690774864725926"/>
    <n v="2.6"/>
    <n v="260"/>
    <n v="7875"/>
    <n v="-3.2685714285714282"/>
    <s v="Facebook"/>
    <n v="1045"/>
    <n v="3.3015873015873019E-2"/>
    <x v="1"/>
  </r>
  <r>
    <n v="1147"/>
    <n v="388"/>
    <n v="333851"/>
    <n v="0.22734693021737243"/>
    <n v="2.44"/>
    <n v="244"/>
    <n v="8471"/>
    <n v="-2.8516113800023608"/>
    <s v="Twitter"/>
    <n v="759"/>
    <n v="2.8804155353559204E-2"/>
    <x v="2"/>
  </r>
  <r>
    <n v="1707"/>
    <n v="74"/>
    <n v="270958"/>
    <n v="0.60267642955734835"/>
    <n v="3.09"/>
    <n v="309"/>
    <n v="14090"/>
    <n v="-2.1711142654364801"/>
    <s v="YouTube"/>
    <n v="1633"/>
    <n v="2.1930447125621009E-2"/>
    <x v="3"/>
  </r>
  <r>
    <n v="1693"/>
    <n v="154"/>
    <n v="445944"/>
    <n v="0.34511059684624079"/>
    <n v="5.69"/>
    <n v="569"/>
    <n v="14216"/>
    <n v="-3.9625070343275177"/>
    <s v="Instagram"/>
    <n v="1539"/>
    <n v="4.0025323579065838E-2"/>
    <x v="0"/>
  </r>
  <r>
    <n v="833"/>
    <n v="380"/>
    <n v="224830"/>
    <n v="0.2014855668727483"/>
    <n v="3.86"/>
    <n v="386"/>
    <n v="3582"/>
    <n v="-10.668341708542712"/>
    <s v="Facebook"/>
    <n v="453"/>
    <n v="0.1077610273590173"/>
    <x v="1"/>
  </r>
  <r>
    <n v="1222"/>
    <n v="274"/>
    <n v="487289"/>
    <n v="0.19454574184929271"/>
    <n v="3.16"/>
    <n v="316"/>
    <n v="32500"/>
    <n v="-0.96258461538461537"/>
    <s v="Twitter"/>
    <n v="948"/>
    <n v="9.7230769230769246E-3"/>
    <x v="2"/>
  </r>
  <r>
    <n v="777"/>
    <n v="140"/>
    <n v="11435"/>
    <n v="5.5706165282028861"/>
    <n v="1.6"/>
    <n v="160"/>
    <n v="6832"/>
    <n v="-2.3185011709601877"/>
    <s v="YouTube"/>
    <n v="637"/>
    <n v="2.3419203747072598E-2"/>
    <x v="3"/>
  </r>
  <r>
    <n v="1957"/>
    <n v="76"/>
    <n v="447902"/>
    <n v="0.41995793722733987"/>
    <n v="6.09"/>
    <n v="609"/>
    <n v="33381"/>
    <n v="-1.8061472094904285"/>
    <s v="Instagram"/>
    <n v="1881"/>
    <n v="1.8243911206974026E-2"/>
    <x v="0"/>
  </r>
  <r>
    <n v="405"/>
    <n v="66"/>
    <n v="418696"/>
    <n v="8.0965664826031306E-2"/>
    <n v="5.59"/>
    <n v="559"/>
    <n v="48419"/>
    <n v="-1.1429604081042564"/>
    <s v="Facebook"/>
    <n v="339"/>
    <n v="1.1545054627315723E-2"/>
    <x v="1"/>
  </r>
  <r>
    <n v="1581"/>
    <n v="71"/>
    <n v="484364"/>
    <n v="0.311749015203442"/>
    <n v="3.55"/>
    <n v="355"/>
    <n v="16149"/>
    <n v="-2.176295745866617"/>
    <s v="Twitter"/>
    <n v="1510"/>
    <n v="2.198278531178401E-2"/>
    <x v="2"/>
  </r>
  <r>
    <n v="1035"/>
    <n v="171"/>
    <n v="148477"/>
    <n v="0.58190830903102841"/>
    <n v="5.21"/>
    <n v="521"/>
    <n v="7541"/>
    <n v="-6.839809043893383"/>
    <s v="YouTube"/>
    <n v="864"/>
    <n v="6.9088980241347298E-2"/>
    <x v="3"/>
  </r>
  <r>
    <n v="1765"/>
    <n v="109"/>
    <n v="468301"/>
    <n v="0.35361871958419905"/>
    <n v="1.82"/>
    <n v="182"/>
    <n v="20042"/>
    <n v="-0.89901207464324928"/>
    <s v="Instagram"/>
    <n v="1656"/>
    <n v="9.0809300469015062E-3"/>
    <x v="0"/>
  </r>
  <r>
    <n v="837"/>
    <n v="430"/>
    <n v="364820"/>
    <n v="0.11156186612576065"/>
    <n v="4"/>
    <n v="400"/>
    <n v="49400"/>
    <n v="-0.80161943319838058"/>
    <s v="Facebook"/>
    <n v="407"/>
    <n v="8.0971659919028341E-3"/>
    <x v="1"/>
  </r>
  <r>
    <n v="337"/>
    <n v="68"/>
    <n v="456298"/>
    <n v="5.8952701962314107E-2"/>
    <n v="7.57"/>
    <n v="757"/>
    <n v="4007"/>
    <n v="-18.703019715497877"/>
    <s v="Twitter"/>
    <n v="269"/>
    <n v="0.18891939106563516"/>
    <x v="2"/>
  </r>
  <r>
    <n v="119"/>
    <n v="456"/>
    <n v="82558"/>
    <n v="-0.4081978730104896"/>
    <n v="6.81"/>
    <n v="681"/>
    <n v="12174"/>
    <n v="-5.5379497289305082"/>
    <s v="YouTube"/>
    <n v="-337"/>
    <n v="5.5938886150813202E-2"/>
    <x v="3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  <r>
    <m/>
    <m/>
    <m/>
    <m/>
    <m/>
    <m/>
    <m/>
    <m/>
    <m/>
    <m/>
    <m/>
    <x v="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208">
  <r>
    <x v="0"/>
    <s v="Instagram"/>
    <n v="1135"/>
    <n v="88"/>
    <n v="344084"/>
    <n v="0.30428616268120573"/>
  </r>
  <r>
    <x v="0"/>
    <s v="Facebook"/>
    <n v="1312"/>
    <n v="310"/>
    <n v="42654"/>
    <n v="2.3491348994232664"/>
  </r>
  <r>
    <x v="0"/>
    <s v="Twitter"/>
    <n v="584"/>
    <n v="169"/>
    <n v="146834"/>
    <n v="0.28263208793603661"/>
  </r>
  <r>
    <x v="0"/>
    <s v="YouTube"/>
    <n v="1535"/>
    <n v="445"/>
    <n v="395536"/>
    <n v="0.27557542170624166"/>
  </r>
  <r>
    <x v="1"/>
    <s v="Instagram"/>
    <n v="656"/>
    <n v="139"/>
    <n v="49157"/>
    <n v="1.0517322049758935"/>
  </r>
  <r>
    <x v="1"/>
    <s v="Facebook"/>
    <n v="1697"/>
    <n v="414"/>
    <n v="316555"/>
    <n v="0.40530081660374973"/>
  </r>
  <r>
    <x v="1"/>
    <s v="Twitter"/>
    <n v="436"/>
    <n v="250"/>
    <n v="254347"/>
    <n v="7.3128442639386351E-2"/>
  </r>
  <r>
    <x v="1"/>
    <s v="YouTube"/>
    <n v="1197"/>
    <n v="203"/>
    <n v="413878"/>
    <n v="0.24016739232334167"/>
  </r>
  <r>
    <x v="2"/>
    <s v="Instagram"/>
    <n v="1048"/>
    <n v="155"/>
    <n v="456946"/>
    <n v="0.19542790614208244"/>
  </r>
  <r>
    <x v="2"/>
    <s v="Facebook"/>
    <n v="1753"/>
    <n v="371"/>
    <n v="169496"/>
    <n v="0.8153584745362723"/>
  </r>
  <r>
    <x v="2"/>
    <s v="Twitter"/>
    <n v="1335"/>
    <n v="40"/>
    <n v="122732"/>
    <n v="1.0551445425805821"/>
  </r>
  <r>
    <x v="2"/>
    <s v="YouTube"/>
    <n v="403"/>
    <n v="66"/>
    <n v="382851"/>
    <n v="8.8023800381871797E-2"/>
  </r>
  <r>
    <x v="3"/>
    <s v="Instagram"/>
    <n v="911"/>
    <n v="282"/>
    <n v="35664"/>
    <n v="1.7636832660385824"/>
  </r>
  <r>
    <x v="3"/>
    <s v="Facebook"/>
    <n v="1779"/>
    <n v="109"/>
    <n v="26295"/>
    <n v="6.3510173036698996"/>
  </r>
  <r>
    <x v="3"/>
    <s v="Twitter"/>
    <n v="1238"/>
    <n v="403"/>
    <n v="298421"/>
    <n v="0.27980604582117208"/>
  </r>
  <r>
    <x v="3"/>
    <s v="YouTube"/>
    <n v="308"/>
    <n v="431"/>
    <n v="426184"/>
    <n v="-2.8860773750305036E-2"/>
  </r>
  <r>
    <x v="4"/>
    <s v="Instagram"/>
    <n v="226"/>
    <n v="445"/>
    <n v="419447"/>
    <n v="-5.2211602419375981E-2"/>
  </r>
  <r>
    <x v="4"/>
    <s v="Facebook"/>
    <n v="505"/>
    <n v="441"/>
    <n v="220020"/>
    <n v="2.9088264703208796E-2"/>
  </r>
  <r>
    <x v="4"/>
    <s v="Twitter"/>
    <n v="1420"/>
    <n v="63"/>
    <n v="315305"/>
    <n v="0.4303769366169265"/>
  </r>
  <r>
    <x v="4"/>
    <s v="YouTube"/>
    <n v="144"/>
    <n v="53"/>
    <n v="113678"/>
    <n v="8.0050669434719113E-2"/>
  </r>
  <r>
    <x v="5"/>
    <s v="Instagram"/>
    <n v="1757"/>
    <n v="85"/>
    <n v="58223"/>
    <n v="2.8717173625543171"/>
  </r>
  <r>
    <x v="5"/>
    <s v="Facebook"/>
    <n v="350"/>
    <n v="41"/>
    <n v="251694"/>
    <n v="0.12276812319721568"/>
  </r>
  <r>
    <x v="5"/>
    <s v="Twitter"/>
    <n v="987"/>
    <n v="440"/>
    <n v="389810"/>
    <n v="0.140324773607655"/>
  </r>
  <r>
    <x v="5"/>
    <s v="YouTube"/>
    <n v="883"/>
    <n v="369"/>
    <n v="233694"/>
    <n v="0.21994574101175038"/>
  </r>
  <r>
    <x v="6"/>
    <s v="Instagram"/>
    <n v="1960"/>
    <n v="115"/>
    <n v="154169"/>
    <n v="1.1967386439556591"/>
  </r>
  <r>
    <x v="6"/>
    <s v="Facebook"/>
    <n v="170"/>
    <n v="334"/>
    <n v="334626"/>
    <n v="-4.9009939454794309E-2"/>
  </r>
  <r>
    <x v="6"/>
    <s v="Twitter"/>
    <n v="704"/>
    <n v="275"/>
    <n v="226002"/>
    <n v="0.18982132901478749"/>
  </r>
  <r>
    <x v="6"/>
    <s v="YouTube"/>
    <n v="224"/>
    <n v="64"/>
    <n v="156683"/>
    <n v="0.10211701333265255"/>
  </r>
  <r>
    <x v="7"/>
    <s v="Instagram"/>
    <n v="508"/>
    <n v="349"/>
    <n v="473812"/>
    <n v="3.3557613568250697E-2"/>
  </r>
  <r>
    <x v="7"/>
    <s v="Facebook"/>
    <n v="1391"/>
    <n v="430"/>
    <n v="295032"/>
    <n v="0.32572737872501967"/>
  </r>
  <r>
    <x v="7"/>
    <s v="Twitter"/>
    <n v="1701"/>
    <n v="385"/>
    <n v="198278"/>
    <n v="0.66371458255580551"/>
  </r>
  <r>
    <x v="7"/>
    <s v="YouTube"/>
    <n v="804"/>
    <n v="487"/>
    <n v="306564"/>
    <n v="0.10340418313957282"/>
  </r>
  <r>
    <x v="8"/>
    <s v="Instagram"/>
    <n v="653"/>
    <n v="112"/>
    <n v="23664"/>
    <n v="2.2861730899256254"/>
  </r>
  <r>
    <x v="8"/>
    <s v="Facebook"/>
    <n v="160"/>
    <n v="478"/>
    <n v="435034"/>
    <n v="-7.309773488968678E-2"/>
  </r>
  <r>
    <x v="8"/>
    <s v="Twitter"/>
    <n v="1756"/>
    <n v="261"/>
    <n v="287574"/>
    <n v="0.51986619096302167"/>
  </r>
  <r>
    <x v="8"/>
    <s v="YouTube"/>
    <n v="576"/>
    <n v="101"/>
    <n v="62499"/>
    <n v="0.76001216019456308"/>
  </r>
  <r>
    <x v="9"/>
    <s v="Instagram"/>
    <n v="645"/>
    <n v="293"/>
    <n v="437968"/>
    <n v="8.0371168669857163E-2"/>
  </r>
  <r>
    <x v="9"/>
    <s v="Facebook"/>
    <n v="214"/>
    <n v="411"/>
    <n v="125034"/>
    <n v="-0.15755714445670779"/>
  </r>
  <r>
    <x v="9"/>
    <s v="Twitter"/>
    <n v="826"/>
    <n v="498"/>
    <n v="449994"/>
    <n v="7.2889860753698937E-2"/>
  </r>
  <r>
    <x v="9"/>
    <s v="YouTube"/>
    <n v="460"/>
    <n v="141"/>
    <n v="320650"/>
    <n v="9.9485420240137221E-2"/>
  </r>
  <r>
    <x v="10"/>
    <s v="Instagram"/>
    <n v="1528"/>
    <n v="203"/>
    <n v="489188"/>
    <n v="0.27085701202809553"/>
  </r>
  <r>
    <x v="10"/>
    <s v="Facebook"/>
    <n v="1534"/>
    <n v="200"/>
    <n v="307612"/>
    <n v="0.43366318609156984"/>
  </r>
  <r>
    <x v="10"/>
    <s v="Twitter"/>
    <n v="485"/>
    <n v="448"/>
    <n v="434883"/>
    <n v="8.5080354946042956E-3"/>
  </r>
  <r>
    <x v="10"/>
    <s v="YouTube"/>
    <n v="1210"/>
    <n v="178"/>
    <n v="102042"/>
    <n v="1.011348268360087"/>
  </r>
  <r>
    <x v="11"/>
    <s v="Instagram"/>
    <n v="215"/>
    <n v="139"/>
    <n v="325444"/>
    <n v="2.335271198731579E-2"/>
  </r>
  <r>
    <x v="11"/>
    <s v="Facebook"/>
    <n v="1078"/>
    <n v="20"/>
    <n v="183924"/>
    <n v="0.57523759813836151"/>
  </r>
  <r>
    <x v="11"/>
    <s v="Twitter"/>
    <n v="1751"/>
    <n v="86"/>
    <n v="188655"/>
    <n v="0.88256340939810773"/>
  </r>
  <r>
    <x v="11"/>
    <s v="YouTube"/>
    <n v="221"/>
    <n v="31"/>
    <n v="87443"/>
    <n v="0.21728440241071326"/>
  </r>
  <r>
    <x v="12"/>
    <s v="Instagram"/>
    <n v="1685"/>
    <n v="76"/>
    <n v="453799"/>
    <n v="0.35456226214689768"/>
  </r>
  <r>
    <x v="12"/>
    <s v="Facebook"/>
    <n v="248"/>
    <n v="211"/>
    <n v="379380"/>
    <n v="9.7527544941747053E-3"/>
  </r>
  <r>
    <x v="12"/>
    <s v="Twitter"/>
    <n v="1300"/>
    <n v="71"/>
    <n v="186454"/>
    <n v="0.65914381026955704"/>
  </r>
  <r>
    <x v="12"/>
    <s v="YouTube"/>
    <n v="422"/>
    <n v="394"/>
    <n v="239044"/>
    <n v="1.1713324743561855E-2"/>
  </r>
  <r>
    <x v="13"/>
    <s v="Instagram"/>
    <n v="1429"/>
    <n v="182"/>
    <n v="101332"/>
    <n v="1.2306082974775983"/>
  </r>
  <r>
    <x v="13"/>
    <s v="Facebook"/>
    <n v="1520"/>
    <n v="475"/>
    <n v="496982"/>
    <n v="0.21026918479944948"/>
  </r>
  <r>
    <x v="13"/>
    <s v="Twitter"/>
    <n v="557"/>
    <n v="360"/>
    <n v="318779"/>
    <n v="6.1798299135137513E-2"/>
  </r>
  <r>
    <x v="13"/>
    <s v="YouTube"/>
    <n v="728"/>
    <n v="395"/>
    <n v="370971"/>
    <n v="8.9764429025449427E-2"/>
  </r>
  <r>
    <x v="14"/>
    <s v="Instagram"/>
    <n v="1592"/>
    <n v="20"/>
    <n v="378054"/>
    <n v="0.41581361392816901"/>
  </r>
  <r>
    <x v="14"/>
    <s v="Facebook"/>
    <n v="1842"/>
    <n v="414"/>
    <n v="307524"/>
    <n v="0.46435400163889645"/>
  </r>
  <r>
    <x v="14"/>
    <s v="Twitter"/>
    <n v="751"/>
    <n v="491"/>
    <n v="434047"/>
    <n v="5.990134708914012E-2"/>
  </r>
  <r>
    <x v="14"/>
    <s v="YouTube"/>
    <n v="1409"/>
    <n v="309"/>
    <n v="64583"/>
    <n v="1.703234597339857"/>
  </r>
  <r>
    <x v="15"/>
    <s v="Instagram"/>
    <n v="778"/>
    <n v="401"/>
    <n v="50793"/>
    <n v="0.74222825979957874"/>
  </r>
  <r>
    <x v="15"/>
    <s v="Facebook"/>
    <n v="443"/>
    <n v="345"/>
    <n v="474162"/>
    <n v="2.0668041724136478E-2"/>
  </r>
  <r>
    <x v="15"/>
    <s v="Twitter"/>
    <n v="1472"/>
    <n v="347"/>
    <n v="392355"/>
    <n v="0.2867301296020186"/>
  </r>
  <r>
    <x v="15"/>
    <s v="YouTube"/>
    <n v="123"/>
    <n v="155"/>
    <n v="119934"/>
    <n v="-2.6681341404439108E-2"/>
  </r>
  <r>
    <x v="16"/>
    <s v="Instagram"/>
    <n v="817"/>
    <n v="151"/>
    <n v="422625"/>
    <n v="0.15758651286601597"/>
  </r>
  <r>
    <x v="16"/>
    <s v="Facebook"/>
    <n v="198"/>
    <n v="217"/>
    <n v="239753"/>
    <n v="-7.924822629956663E-3"/>
  </r>
  <r>
    <x v="16"/>
    <s v="Twitter"/>
    <n v="1911"/>
    <n v="231"/>
    <n v="268516"/>
    <n v="0.62566104068286432"/>
  </r>
  <r>
    <x v="16"/>
    <s v="YouTube"/>
    <n v="1218"/>
    <n v="212"/>
    <n v="63177"/>
    <n v="1.592351646960128"/>
  </r>
  <r>
    <x v="17"/>
    <s v="Instagram"/>
    <n v="1433"/>
    <n v="408"/>
    <n v="370269"/>
    <n v="0.27682576721248608"/>
  </r>
  <r>
    <x v="17"/>
    <s v="Facebook"/>
    <n v="250"/>
    <n v="429"/>
    <n v="453423"/>
    <n v="-3.9477485703195474E-2"/>
  </r>
  <r>
    <x v="17"/>
    <s v="Twitter"/>
    <n v="752"/>
    <n v="153"/>
    <n v="64906"/>
    <n v="0.92287307798970819"/>
  </r>
  <r>
    <x v="17"/>
    <s v="YouTube"/>
    <n v="1918"/>
    <n v="212"/>
    <n v="94360"/>
    <n v="1.8079694785926241"/>
  </r>
  <r>
    <x v="18"/>
    <s v="Instagram"/>
    <n v="1939"/>
    <n v="67"/>
    <n v="187183"/>
    <n v="1.000090820213374"/>
  </r>
  <r>
    <x v="18"/>
    <s v="Facebook"/>
    <n v="1929"/>
    <n v="267"/>
    <n v="379363"/>
    <n v="0.43810281972675247"/>
  </r>
  <r>
    <x v="18"/>
    <s v="Twitter"/>
    <n v="437"/>
    <n v="330"/>
    <n v="476486"/>
    <n v="2.2456063766826309E-2"/>
  </r>
  <r>
    <x v="18"/>
    <s v="YouTube"/>
    <n v="307"/>
    <n v="189"/>
    <n v="117767"/>
    <n v="0.10019784829366461"/>
  </r>
  <r>
    <x v="19"/>
    <s v="Instagram"/>
    <n v="1527"/>
    <n v="303"/>
    <n v="388555"/>
    <n v="0.31501331857780751"/>
  </r>
  <r>
    <x v="19"/>
    <s v="Facebook"/>
    <n v="643"/>
    <n v="358"/>
    <n v="157599"/>
    <n v="0.18083871090552606"/>
  </r>
  <r>
    <x v="19"/>
    <s v="Twitter"/>
    <n v="201"/>
    <n v="221"/>
    <n v="309772"/>
    <n v="-6.4563614529395824E-3"/>
  </r>
  <r>
    <x v="19"/>
    <s v="YouTube"/>
    <n v="414"/>
    <n v="47"/>
    <n v="199178"/>
    <n v="0.18425729749269498"/>
  </r>
  <r>
    <x v="20"/>
    <s v="Instagram"/>
    <n v="703"/>
    <n v="441"/>
    <n v="357089"/>
    <n v="7.3371064356504964E-2"/>
  </r>
  <r>
    <x v="20"/>
    <s v="Facebook"/>
    <n v="508"/>
    <n v="69"/>
    <n v="23492"/>
    <n v="1.8687212668142346"/>
  </r>
  <r>
    <x v="20"/>
    <s v="Twitter"/>
    <n v="697"/>
    <n v="61"/>
    <n v="258287"/>
    <n v="0.24623771231227276"/>
  </r>
  <r>
    <x v="20"/>
    <s v="YouTube"/>
    <n v="1707"/>
    <n v="223"/>
    <n v="256910"/>
    <n v="0.57763419096181545"/>
  </r>
  <r>
    <x v="21"/>
    <s v="Instagram"/>
    <n v="642"/>
    <n v="66"/>
    <n v="346522"/>
    <n v="0.166223212379012"/>
  </r>
  <r>
    <x v="21"/>
    <s v="Facebook"/>
    <n v="859"/>
    <n v="473"/>
    <n v="209987"/>
    <n v="0.18382090319876945"/>
  </r>
  <r>
    <x v="21"/>
    <s v="Twitter"/>
    <n v="191"/>
    <n v="154"/>
    <n v="240550"/>
    <n v="1.5381417584701726E-2"/>
  </r>
  <r>
    <x v="21"/>
    <s v="YouTube"/>
    <n v="1814"/>
    <n v="157"/>
    <n v="305827"/>
    <n v="0.54180958515762179"/>
  </r>
  <r>
    <x v="22"/>
    <s v="Instagram"/>
    <n v="1466"/>
    <n v="69"/>
    <n v="54935"/>
    <n v="2.5430053699827071"/>
  </r>
  <r>
    <x v="22"/>
    <s v="Facebook"/>
    <n v="947"/>
    <n v="407"/>
    <n v="319186"/>
    <n v="0.16918035252172714"/>
  </r>
  <r>
    <x v="22"/>
    <s v="Twitter"/>
    <n v="1821"/>
    <n v="218"/>
    <n v="439080"/>
    <n v="0.36508153411678962"/>
  </r>
  <r>
    <x v="22"/>
    <s v="YouTube"/>
    <n v="1507"/>
    <n v="463"/>
    <n v="258944"/>
    <n v="0.40317597627286211"/>
  </r>
  <r>
    <x v="23"/>
    <s v="Instagram"/>
    <n v="1075"/>
    <n v="173"/>
    <n v="51395"/>
    <n v="1.7550345364335054"/>
  </r>
  <r>
    <x v="23"/>
    <s v="Facebook"/>
    <n v="171"/>
    <n v="277"/>
    <n v="309483"/>
    <n v="-3.4250669665215859E-2"/>
  </r>
  <r>
    <x v="23"/>
    <s v="Twitter"/>
    <n v="1487"/>
    <n v="337"/>
    <n v="87305"/>
    <n v="1.3172212358971422"/>
  </r>
  <r>
    <x v="23"/>
    <s v="YouTube"/>
    <n v="454"/>
    <n v="105"/>
    <n v="121091"/>
    <n v="0.28821299683708945"/>
  </r>
  <r>
    <x v="24"/>
    <s v="Instagram"/>
    <n v="187"/>
    <n v="236"/>
    <n v="51087"/>
    <n v="-9.5914811987394058E-2"/>
  </r>
  <r>
    <x v="24"/>
    <s v="Facebook"/>
    <n v="513"/>
    <n v="441"/>
    <n v="338847"/>
    <n v="2.124852809675163E-2"/>
  </r>
  <r>
    <x v="24"/>
    <s v="Twitter"/>
    <n v="628"/>
    <n v="183"/>
    <n v="487523"/>
    <n v="9.1277744844858608E-2"/>
  </r>
  <r>
    <x v="24"/>
    <s v="YouTube"/>
    <n v="278"/>
    <n v="218"/>
    <n v="301695"/>
    <n v="1.9887634863023914E-2"/>
  </r>
  <r>
    <x v="25"/>
    <s v="Instagram"/>
    <n v="1854"/>
    <n v="161"/>
    <n v="282466"/>
    <n v="0.59936417126309005"/>
  </r>
  <r>
    <x v="25"/>
    <s v="Facebook"/>
    <n v="1710"/>
    <n v="378"/>
    <n v="336661"/>
    <n v="0.39565022381564841"/>
  </r>
  <r>
    <x v="25"/>
    <s v="Twitter"/>
    <n v="330"/>
    <n v="232"/>
    <n v="88455"/>
    <n v="0.11079079758069074"/>
  </r>
  <r>
    <x v="25"/>
    <s v="YouTube"/>
    <n v="1293"/>
    <n v="408"/>
    <n v="62535"/>
    <n v="1.4152074838090669"/>
  </r>
  <r>
    <x v="26"/>
    <s v="Instagram"/>
    <n v="1696"/>
    <n v="71"/>
    <n v="421957"/>
    <n v="0.38511033114748661"/>
  </r>
  <r>
    <x v="26"/>
    <s v="Facebook"/>
    <n v="1902"/>
    <n v="196"/>
    <n v="470269"/>
    <n v="0.36277109484146308"/>
  </r>
  <r>
    <x v="26"/>
    <s v="Twitter"/>
    <n v="1441"/>
    <n v="268"/>
    <n v="309904"/>
    <n v="0.37850431101244258"/>
  </r>
  <r>
    <x v="26"/>
    <s v="YouTube"/>
    <n v="452"/>
    <n v="161"/>
    <n v="221274"/>
    <n v="0.13151115811166245"/>
  </r>
  <r>
    <x v="27"/>
    <s v="Instagram"/>
    <n v="1494"/>
    <n v="375"/>
    <n v="220616"/>
    <n v="0.5072161583928636"/>
  </r>
  <r>
    <x v="27"/>
    <s v="Facebook"/>
    <n v="1514"/>
    <n v="141"/>
    <n v="35842"/>
    <n v="3.8307014117515763"/>
  </r>
  <r>
    <x v="27"/>
    <s v="Twitter"/>
    <n v="1937"/>
    <n v="210"/>
    <n v="20607"/>
    <n v="8.3806473528412688"/>
  </r>
  <r>
    <x v="27"/>
    <s v="YouTube"/>
    <n v="736"/>
    <n v="163"/>
    <n v="451894"/>
    <n v="0.12679964770499277"/>
  </r>
  <r>
    <x v="28"/>
    <s v="Instagram"/>
    <n v="1502"/>
    <n v="70"/>
    <n v="465553"/>
    <n v="0.30759118725472717"/>
  </r>
  <r>
    <x v="28"/>
    <s v="Facebook"/>
    <n v="1623"/>
    <n v="246"/>
    <n v="415815"/>
    <n v="0.33115688467227011"/>
  </r>
  <r>
    <x v="28"/>
    <s v="Twitter"/>
    <n v="1592"/>
    <n v="233"/>
    <n v="327183"/>
    <n v="0.41536387893013998"/>
  </r>
  <r>
    <x v="28"/>
    <s v="YouTube"/>
    <n v="1004"/>
    <n v="128"/>
    <n v="488901"/>
    <n v="0.17917737946946316"/>
  </r>
  <r>
    <x v="29"/>
    <s v="Instagram"/>
    <n v="1092"/>
    <n v="408"/>
    <n v="280795"/>
    <n v="0.24359408109118752"/>
  </r>
  <r>
    <x v="29"/>
    <s v="Facebook"/>
    <n v="1155"/>
    <n v="425"/>
    <n v="93347"/>
    <n v="0.78202834584935776"/>
  </r>
  <r>
    <x v="29"/>
    <s v="Twitter"/>
    <n v="1137"/>
    <n v="226"/>
    <n v="81119"/>
    <n v="1.123041457611657"/>
  </r>
  <r>
    <x v="29"/>
    <s v="YouTube"/>
    <n v="1900"/>
    <n v="311"/>
    <n v="25177"/>
    <n v="6.3113158835445047"/>
  </r>
  <r>
    <x v="30"/>
    <s v="Instagram"/>
    <n v="1814"/>
    <n v="49"/>
    <n v="140804"/>
    <n v="1.2535155251271271"/>
  </r>
  <r>
    <x v="30"/>
    <s v="Facebook"/>
    <n v="1980"/>
    <n v="204"/>
    <n v="379431"/>
    <n v="0.46806929323118035"/>
  </r>
  <r>
    <x v="30"/>
    <s v="Twitter"/>
    <n v="1786"/>
    <n v="257"/>
    <n v="274831"/>
    <n v="0.55634189738421069"/>
  </r>
  <r>
    <x v="30"/>
    <s v="YouTube"/>
    <n v="1495"/>
    <n v="35"/>
    <n v="136845"/>
    <n v="1.0669005078738718"/>
  </r>
  <r>
    <x v="31"/>
    <s v="Instagram"/>
    <n v="1013"/>
    <n v="110"/>
    <n v="466382"/>
    <n v="0.19361810704529764"/>
  </r>
  <r>
    <x v="31"/>
    <s v="Facebook"/>
    <n v="816"/>
    <n v="196"/>
    <n v="95728"/>
    <n v="0.64766839378238339"/>
  </r>
  <r>
    <x v="31"/>
    <s v="Twitter"/>
    <n v="1633"/>
    <n v="445"/>
    <n v="371156"/>
    <n v="0.32008104408927779"/>
  </r>
  <r>
    <x v="31"/>
    <s v="YouTube"/>
    <n v="891"/>
    <n v="45"/>
    <n v="95410"/>
    <n v="0.88669950738916259"/>
  </r>
  <r>
    <x v="32"/>
    <s v="Instagram"/>
    <n v="1855"/>
    <n v="133"/>
    <n v="349413"/>
    <n v="0.49282654051223052"/>
  </r>
  <r>
    <x v="32"/>
    <s v="Facebook"/>
    <n v="651"/>
    <n v="353"/>
    <n v="224699"/>
    <n v="0.13262186302564766"/>
  </r>
  <r>
    <x v="32"/>
    <s v="Twitter"/>
    <n v="118"/>
    <n v="262"/>
    <n v="487896"/>
    <n v="-2.9514486693885584E-2"/>
  </r>
  <r>
    <x v="32"/>
    <s v="YouTube"/>
    <n v="1331"/>
    <n v="430"/>
    <n v="14437"/>
    <n v="6.2409087760615085"/>
  </r>
  <r>
    <x v="33"/>
    <s v="Instagram"/>
    <n v="1748"/>
    <n v="176"/>
    <n v="383681"/>
    <n v="0.40971536250166152"/>
  </r>
  <r>
    <x v="33"/>
    <s v="Facebook"/>
    <n v="663"/>
    <n v="236"/>
    <n v="479490"/>
    <n v="8.905295209493419E-2"/>
  </r>
  <r>
    <x v="33"/>
    <s v="Twitter"/>
    <n v="1040"/>
    <n v="149"/>
    <n v="124404"/>
    <n v="0.71621491270377158"/>
  </r>
  <r>
    <x v="33"/>
    <s v="YouTube"/>
    <n v="1166"/>
    <n v="442"/>
    <n v="336949"/>
    <n v="0.2148693125665902"/>
  </r>
  <r>
    <x v="34"/>
    <s v="Instagram"/>
    <n v="115"/>
    <n v="281"/>
    <n v="357265"/>
    <n v="-4.6464109274628081E-2"/>
  </r>
  <r>
    <x v="34"/>
    <s v="Facebook"/>
    <n v="1249"/>
    <n v="351"/>
    <n v="321307"/>
    <n v="0.27948348464241363"/>
  </r>
  <r>
    <x v="34"/>
    <s v="Twitter"/>
    <n v="1501"/>
    <n v="75"/>
    <n v="262569"/>
    <n v="0.54309533874905258"/>
  </r>
  <r>
    <x v="34"/>
    <s v="YouTube"/>
    <n v="1411"/>
    <n v="186"/>
    <n v="461669"/>
    <n v="0.26534161921203286"/>
  </r>
  <r>
    <x v="35"/>
    <s v="Instagram"/>
    <n v="1556"/>
    <n v="476"/>
    <n v="351556"/>
    <n v="0.30720567989168157"/>
  </r>
  <r>
    <x v="35"/>
    <s v="Facebook"/>
    <n v="1159"/>
    <n v="411"/>
    <n v="135987"/>
    <n v="0.5500525785553031"/>
  </r>
  <r>
    <x v="35"/>
    <s v="Twitter"/>
    <n v="927"/>
    <n v="358"/>
    <n v="177554"/>
    <n v="0.32046588643454949"/>
  </r>
  <r>
    <x v="35"/>
    <s v="YouTube"/>
    <n v="152"/>
    <n v="355"/>
    <n v="270766"/>
    <n v="-7.4972485467156139E-2"/>
  </r>
  <r>
    <x v="36"/>
    <s v="Instagram"/>
    <n v="1957"/>
    <n v="234"/>
    <n v="222126"/>
    <n v="0.77568587198256844"/>
  </r>
  <r>
    <x v="36"/>
    <s v="Facebook"/>
    <n v="1294"/>
    <n v="382"/>
    <n v="309914"/>
    <n v="0.29427518601934727"/>
  </r>
  <r>
    <x v="36"/>
    <s v="Twitter"/>
    <n v="1587"/>
    <n v="385"/>
    <n v="126582"/>
    <n v="0.94958208908059605"/>
  </r>
  <r>
    <x v="36"/>
    <s v="YouTube"/>
    <n v="1707"/>
    <n v="263"/>
    <n v="485280"/>
    <n v="0.29756017144741181"/>
  </r>
  <r>
    <x v="37"/>
    <s v="Instagram"/>
    <n v="1138"/>
    <n v="173"/>
    <n v="453243"/>
    <n v="0.21291007252180397"/>
  </r>
  <r>
    <x v="37"/>
    <s v="Facebook"/>
    <n v="1895"/>
    <n v="305"/>
    <n v="104967"/>
    <n v="1.5147617822744293"/>
  </r>
  <r>
    <x v="37"/>
    <s v="Twitter"/>
    <n v="362"/>
    <n v="399"/>
    <n v="145608"/>
    <n v="-2.5410691720235155E-2"/>
  </r>
  <r>
    <x v="37"/>
    <s v="YouTube"/>
    <n v="1662"/>
    <n v="487"/>
    <n v="105980"/>
    <n v="1.1086997546706925"/>
  </r>
  <r>
    <x v="38"/>
    <s v="Instagram"/>
    <n v="1440"/>
    <n v="65"/>
    <n v="126524"/>
    <n v="1.08675033985647"/>
  </r>
  <r>
    <x v="38"/>
    <s v="Facebook"/>
    <n v="1884"/>
    <n v="177"/>
    <n v="230448"/>
    <n v="0.74073109768798173"/>
  </r>
  <r>
    <x v="38"/>
    <s v="Twitter"/>
    <n v="861"/>
    <n v="153"/>
    <n v="317007"/>
    <n v="0.22333891680625351"/>
  </r>
  <r>
    <x v="38"/>
    <s v="YouTube"/>
    <n v="1063"/>
    <n v="47"/>
    <n v="464239"/>
    <n v="0.21885278918832757"/>
  </r>
  <r>
    <x v="39"/>
    <s v="Instagram"/>
    <n v="1371"/>
    <n v="56"/>
    <n v="257579"/>
    <n v="0.51052298518124528"/>
  </r>
  <r>
    <x v="39"/>
    <s v="Facebook"/>
    <n v="345"/>
    <n v="464"/>
    <n v="366881"/>
    <n v="-3.2435585380545737E-2"/>
  </r>
  <r>
    <x v="39"/>
    <s v="Twitter"/>
    <n v="946"/>
    <n v="47"/>
    <n v="466575"/>
    <n v="0.19268070513850935"/>
  </r>
  <r>
    <x v="39"/>
    <s v="YouTube"/>
    <n v="510"/>
    <n v="195"/>
    <n v="224534"/>
    <n v="0.14029055733207443"/>
  </r>
  <r>
    <x v="40"/>
    <s v="Instagram"/>
    <n v="393"/>
    <n v="181"/>
    <n v="462142"/>
    <n v="4.5873346287504703E-2"/>
  </r>
  <r>
    <x v="40"/>
    <s v="Facebook"/>
    <n v="1098"/>
    <n v="190"/>
    <n v="340842"/>
    <n v="0.26639909400836753"/>
  </r>
  <r>
    <x v="40"/>
    <s v="Twitter"/>
    <n v="1399"/>
    <n v="49"/>
    <n v="12471"/>
    <n v="10.825114265095021"/>
  </r>
  <r>
    <x v="40"/>
    <s v="YouTube"/>
    <n v="1658"/>
    <n v="416"/>
    <n v="98397"/>
    <n v="1.2622336046830696"/>
  </r>
  <r>
    <x v="41"/>
    <s v="Instagram"/>
    <n v="1102"/>
    <n v="422"/>
    <n v="410330"/>
    <n v="0.16572027392586453"/>
  </r>
  <r>
    <x v="41"/>
    <s v="Facebook"/>
    <n v="1358"/>
    <n v="242"/>
    <n v="342129"/>
    <n v="0.32619275185675578"/>
  </r>
  <r>
    <x v="41"/>
    <s v="Twitter"/>
    <n v="1077"/>
    <n v="216"/>
    <n v="12447"/>
    <n v="6.9173294769824052"/>
  </r>
  <r>
    <x v="41"/>
    <s v="YouTube"/>
    <n v="1596"/>
    <n v="211"/>
    <n v="17380"/>
    <n v="7.9689298043728432"/>
  </r>
  <r>
    <x v="42"/>
    <s v="Instagram"/>
    <n v="490"/>
    <n v="29"/>
    <n v="364810"/>
    <n v="0.12636715002329982"/>
  </r>
  <r>
    <x v="42"/>
    <s v="Facebook"/>
    <n v="609"/>
    <n v="135"/>
    <n v="373606"/>
    <n v="0.1268716241173857"/>
  </r>
  <r>
    <x v="42"/>
    <s v="Twitter"/>
    <n v="364"/>
    <n v="72"/>
    <n v="211090"/>
    <n v="0.13832962243592781"/>
  </r>
  <r>
    <x v="42"/>
    <s v="YouTube"/>
    <n v="442"/>
    <n v="53"/>
    <n v="441931"/>
    <n v="8.8022790888170319E-2"/>
  </r>
  <r>
    <x v="43"/>
    <s v="Instagram"/>
    <n v="1033"/>
    <n v="392"/>
    <n v="282780"/>
    <n v="0.22667798288422092"/>
  </r>
  <r>
    <x v="43"/>
    <s v="Facebook"/>
    <n v="988"/>
    <n v="474"/>
    <n v="370070"/>
    <n v="0.13889264193260734"/>
  </r>
  <r>
    <x v="43"/>
    <s v="Twitter"/>
    <n v="1946"/>
    <n v="270"/>
    <n v="198350"/>
    <n v="0.84497101083942527"/>
  </r>
  <r>
    <x v="43"/>
    <s v="YouTube"/>
    <n v="1957"/>
    <n v="490"/>
    <n v="435726"/>
    <n v="0.33667947287974553"/>
  </r>
  <r>
    <x v="44"/>
    <s v="Instagram"/>
    <n v="559"/>
    <n v="392"/>
    <n v="78789"/>
    <n v="0.21195852212872357"/>
  </r>
  <r>
    <x v="44"/>
    <s v="Facebook"/>
    <n v="1307"/>
    <n v="278"/>
    <n v="98596"/>
    <n v="1.0436528865268369"/>
  </r>
  <r>
    <x v="44"/>
    <s v="Twitter"/>
    <n v="1432"/>
    <n v="425"/>
    <n v="29589"/>
    <n v="3.4032917638311533"/>
  </r>
  <r>
    <x v="44"/>
    <s v="YouTube"/>
    <n v="623"/>
    <n v="414"/>
    <n v="290354"/>
    <n v="7.1981098934404214E-2"/>
  </r>
  <r>
    <x v="45"/>
    <s v="Instagram"/>
    <n v="198"/>
    <n v="358"/>
    <n v="66682"/>
    <n v="-0.2399448126930806"/>
  </r>
  <r>
    <x v="45"/>
    <s v="Facebook"/>
    <n v="198"/>
    <n v="373"/>
    <n v="70707"/>
    <n v="-0.24750024750024749"/>
  </r>
  <r>
    <x v="45"/>
    <s v="Twitter"/>
    <n v="353"/>
    <n v="300"/>
    <n v="142507"/>
    <n v="3.7191155522184875E-2"/>
  </r>
  <r>
    <x v="45"/>
    <s v="YouTube"/>
    <n v="520"/>
    <n v="375"/>
    <n v="369525"/>
    <n v="3.9239564305527365E-2"/>
  </r>
  <r>
    <x v="46"/>
    <s v="Instagram"/>
    <n v="961"/>
    <n v="358"/>
    <n v="62942"/>
    <n v="0.95802484827301337"/>
  </r>
  <r>
    <x v="46"/>
    <s v="Facebook"/>
    <n v="1375"/>
    <n v="330"/>
    <n v="377382"/>
    <n v="0.27690774864725926"/>
  </r>
  <r>
    <x v="46"/>
    <s v="Twitter"/>
    <n v="1147"/>
    <n v="388"/>
    <n v="333851"/>
    <n v="0.22734693021737243"/>
  </r>
  <r>
    <x v="46"/>
    <s v="YouTube"/>
    <n v="1707"/>
    <n v="74"/>
    <n v="270958"/>
    <n v="0.60267642955734835"/>
  </r>
  <r>
    <x v="47"/>
    <s v="Instagram"/>
    <n v="1693"/>
    <n v="154"/>
    <n v="445944"/>
    <n v="0.34511059684624079"/>
  </r>
  <r>
    <x v="47"/>
    <s v="Facebook"/>
    <n v="833"/>
    <n v="380"/>
    <n v="224830"/>
    <n v="0.2014855668727483"/>
  </r>
  <r>
    <x v="47"/>
    <s v="Twitter"/>
    <n v="1222"/>
    <n v="274"/>
    <n v="487289"/>
    <n v="0.19454574184929271"/>
  </r>
  <r>
    <x v="47"/>
    <s v="YouTube"/>
    <n v="777"/>
    <n v="140"/>
    <n v="11435"/>
    <n v="5.5706165282028861"/>
  </r>
  <r>
    <x v="48"/>
    <s v="Instagram"/>
    <n v="1957"/>
    <n v="76"/>
    <n v="447902"/>
    <n v="0.41995793722733987"/>
  </r>
  <r>
    <x v="48"/>
    <s v="Facebook"/>
    <n v="405"/>
    <n v="66"/>
    <n v="418696"/>
    <n v="8.0965664826031306E-2"/>
  </r>
  <r>
    <x v="48"/>
    <s v="Twitter"/>
    <n v="1581"/>
    <n v="71"/>
    <n v="484364"/>
    <n v="0.311749015203442"/>
  </r>
  <r>
    <x v="48"/>
    <s v="YouTube"/>
    <n v="1035"/>
    <n v="171"/>
    <n v="148477"/>
    <n v="0.58190830903102841"/>
  </r>
  <r>
    <x v="49"/>
    <s v="Instagram"/>
    <n v="1765"/>
    <n v="109"/>
    <n v="468301"/>
    <n v="0.35361871958419905"/>
  </r>
  <r>
    <x v="49"/>
    <s v="Facebook"/>
    <n v="837"/>
    <n v="430"/>
    <n v="364820"/>
    <n v="0.11156186612576065"/>
  </r>
  <r>
    <x v="49"/>
    <s v="Twitter"/>
    <n v="337"/>
    <n v="68"/>
    <n v="456298"/>
    <n v="5.8952701962314107E-2"/>
  </r>
  <r>
    <x v="49"/>
    <s v="YouTube"/>
    <n v="119"/>
    <n v="456"/>
    <n v="82558"/>
    <n v="-0.4081978730104896"/>
  </r>
  <r>
    <x v="50"/>
    <m/>
    <m/>
    <m/>
    <m/>
    <m/>
  </r>
  <r>
    <x v="50"/>
    <m/>
    <m/>
    <m/>
    <m/>
    <m/>
  </r>
  <r>
    <x v="50"/>
    <m/>
    <m/>
    <m/>
    <m/>
    <m/>
  </r>
  <r>
    <x v="50"/>
    <m/>
    <m/>
    <m/>
    <m/>
    <m/>
  </r>
  <r>
    <x v="50"/>
    <m/>
    <m/>
    <m/>
    <m/>
    <m/>
  </r>
  <r>
    <x v="50"/>
    <m/>
    <m/>
    <m/>
    <m/>
    <m/>
  </r>
  <r>
    <x v="50"/>
    <m/>
    <m/>
    <m/>
    <m/>
    <m/>
  </r>
  <r>
    <x v="5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ntent Type">
  <location ref="A3:S13" firstHeaderRow="1" firstDataRow="3" firstDataCol="1"/>
  <pivotFields count="11">
    <pivotField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axis="axisRow" showAll="0">
      <items count="8">
        <item x="3"/>
        <item x="4"/>
        <item x="1"/>
        <item x="0"/>
        <item x="5"/>
        <item x="2"/>
        <item x="6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1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Dark3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Hashtags Used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licks" fld="10" subtotal="average" baseField="0" baseItem="0" numFmtId="2"/>
  </dataFields>
  <pivotTableStyleInfo name="PivotStyleLight1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Hashtags Used">
  <location ref="A3:B9" firstHeaderRow="1" firstDataRow="1" firstDataCol="1"/>
  <pivotFields count="5">
    <pivotField axis="axisRow" showAll="0">
      <items count="5">
        <item sd="0" x="0"/>
        <item sd="0" x="2"/>
        <item sd="0" x="1"/>
        <item x="3"/>
        <item t="default"/>
      </items>
    </pivotField>
    <pivotField axis="axisRow" showAll="0">
      <items count="7">
        <item x="2"/>
        <item x="1"/>
        <item x="5"/>
        <item x="4"/>
        <item x="3"/>
        <item sd="0"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3">
    <field x="0"/>
    <field x="1"/>
    <field x="2"/>
  </rowFields>
  <rowItems count="6">
    <i>
      <x/>
    </i>
    <i>
      <x v="1"/>
    </i>
    <i>
      <x v="2"/>
    </i>
    <i>
      <x v="3"/>
    </i>
    <i r="1">
      <x v="5"/>
    </i>
    <i t="grand">
      <x/>
    </i>
  </rowItems>
  <colItems count="1">
    <i/>
  </colItems>
  <dataFields count="1">
    <dataField name="Count of Engagement Rate" fld="4" subtotal="count" baseField="0" baseItem="0"/>
  </dataFields>
  <formats count="2">
    <format dxfId="61">
      <pivotArea collapsedLevelsAreSubtotals="1" fieldPosition="0">
        <references count="1">
          <reference field="0" count="1">
            <x v="1"/>
          </reference>
        </references>
      </pivotArea>
    </format>
    <format dxfId="60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Medium10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latform">
  <location ref="A3:B9" firstHeaderRow="1" firstDataRow="1" firstDataCol="1"/>
  <pivotFields count="15"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 Rate" fld="14" subtotal="average" baseField="0" baseItem="0" numFmtId="2"/>
  </dataFields>
  <formats count="2">
    <format dxfId="59">
      <pivotArea collapsedLevelsAreSubtotals="1" fieldPosition="0">
        <references count="1">
          <reference field="0" count="1">
            <x v="1"/>
          </reference>
        </references>
      </pivotArea>
    </format>
    <format dxfId="58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8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 rowHeaderCaption="Platform">
  <location ref="A3:B8" firstHeaderRow="1" firstDataRow="1" firstDataCol="1"/>
  <pivotFields count="5"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ollower_Growth_Rate" fld="4" subtotal="average" baseField="0" baseItem="0" numFmtId="2"/>
  </dataFields>
  <formats count="2">
    <format dxfId="57">
      <pivotArea collapsedLevelsAreSubtotals="1" fieldPosition="0">
        <references count="1">
          <reference field="0" count="1">
            <x v="2"/>
          </reference>
        </references>
      </pivotArea>
    </format>
    <format dxfId="56">
      <pivotArea dataOnly="0" labelOnly="1" fieldPosition="0">
        <references count="1">
          <reference field="0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Platform">
  <location ref="A3:C10" firstHeaderRow="1" firstDataRow="2" firstDataCol="1"/>
  <pivotFields count="3">
    <pivotField dataField="1" showAll="0"/>
    <pivotField dataField="1" showAll="0"/>
    <pivotField axis="axisRow" showAll="0">
      <items count="6">
        <item x="1"/>
        <item x="0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" fld="0" baseField="0" baseItem="0"/>
    <dataField name="Sum of Ad_Spen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Hashtags Used">
  <location ref="A5:D11" firstHeaderRow="1" firstDataRow="2" firstDataCol="1"/>
  <pivotFields count="3">
    <pivotField axis="axisRow" dataField="1" showAll="0">
      <items count="5">
        <item sd="0" x="0"/>
        <item sd="0" x="2"/>
        <item sd="0" x="1"/>
        <item sd="0" x="3"/>
        <item t="default"/>
      </items>
    </pivotField>
    <pivotField axis="axisRow" dataField="1" showAll="0">
      <items count="7">
        <item x="2"/>
        <item x="1"/>
        <item x="5"/>
        <item x="4"/>
        <item x="3"/>
        <item x="0"/>
        <item t="default"/>
      </items>
    </pivotField>
    <pivotField axis="axisRow" dataField="1" showAll="0">
      <items count="5">
        <item x="1"/>
        <item x="3"/>
        <item x="2"/>
        <item x="0"/>
        <item t="default"/>
      </items>
    </pivotField>
  </pivotFields>
  <rowFields count="3">
    <field x="0"/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Hashtags Used" fld="0" subtotal="count" baseField="0" baseItem="0"/>
    <dataField name="Count of Hashtags Used2" fld="1" subtotal="count" baseField="0" baseItem="0"/>
    <dataField name="Count of Hashtags Used3" fld="2" subtotal="count" baseField="0" baseItem="0"/>
  </dataFields>
  <formats count="4">
    <format dxfId="55">
      <pivotArea collapsedLevelsAreSubtotals="1" fieldPosition="0">
        <references count="1">
          <reference field="0" count="1">
            <x v="1"/>
          </reference>
        </references>
      </pivotArea>
    </format>
    <format dxfId="54">
      <pivotArea dataOnly="0" labelOnly="1" fieldPosition="0">
        <references count="1">
          <reference field="0" count="1">
            <x v="1"/>
          </reference>
        </references>
      </pivotArea>
    </format>
    <format dxfId="53">
      <pivotArea collapsedLevelsAreSubtotals="1" fieldPosition="0">
        <references count="1">
          <reference field="0" count="1">
            <x v="1"/>
          </reference>
        </references>
      </pivotArea>
    </format>
    <format dxfId="52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Medium12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2" rowHeaderCaption="Hashtags Used">
  <location ref="A3:B2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7">
        <item sd="0" x="2"/>
        <item sd="0" x="1"/>
        <item sd="0" x="5"/>
        <item sd="0" x="4"/>
        <item sd="0" x="3"/>
        <item sd="0"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3">
    <field x="6"/>
    <field x="7"/>
    <field x="8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5"/>
    </i>
    <i>
      <x v="3"/>
    </i>
    <i r="1">
      <x v="5"/>
    </i>
    <i t="grand">
      <x/>
    </i>
  </rowItems>
  <colItems count="1">
    <i/>
  </colItems>
  <dataFields count="1">
    <dataField name="Average of Engagement Rate" fld="10" subtotal="average" baseField="0" baseItem="0" numFmtId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7" count="1" selected="0">
            <x v="5"/>
          </reference>
        </references>
      </pivotArea>
    </chartFormat>
  </chartFormats>
  <pivotTableStyleInfo name="PivotStyleMedium5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Content Type">
  <location ref="A3:B7" firstHeaderRow="1" firstDataRow="1" firstDataCol="1"/>
  <pivotFields count="13">
    <pivotField axis="axisRow" showAll="0">
      <items count="8">
        <item x="3"/>
        <item x="4"/>
        <item h="1" x="1"/>
        <item h="1" x="0"/>
        <item h="1" x="5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02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00"/>
        <item t="default"/>
      </items>
    </pivotField>
  </pivotFields>
  <rowFields count="1">
    <field x="0"/>
  </rowFields>
  <rowItems count="4">
    <i>
      <x/>
    </i>
    <i>
      <x v="1"/>
    </i>
    <i>
      <x v="5"/>
    </i>
    <i t="grand">
      <x/>
    </i>
  </rowItems>
  <colItems count="1">
    <i/>
  </colItems>
  <dataFields count="1">
    <dataField name="Average of Engagement Rate" fld="12" subtotal="average" baseField="0" baseItem="0"/>
  </dataFields>
  <formats count="1">
    <format dxfId="51">
      <pivotArea collapsedLevelsAreSubtotals="1" fieldPosition="0">
        <references count="1">
          <reference field="0" count="6">
            <x v="0"/>
            <x v="1"/>
            <x v="2"/>
            <x v="3"/>
            <x v="4"/>
            <x v="5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Platform">
  <location ref="A3:I10" firstHeaderRow="1" firstDataRow="2" firstDataCol="1"/>
  <pivotFields count="15"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axis="axisCol" showAll="0">
      <items count="8">
        <item x="3"/>
        <item x="4"/>
        <item x="1"/>
        <item x="0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ngagement Rate" fld="14" subtotal="average" baseField="0" baseItem="0" numFmtId="2"/>
  </dataFields>
  <formats count="2">
    <format dxfId="50">
      <pivotArea collapsedLevelsAreSubtotals="1" fieldPosition="0">
        <references count="1">
          <reference field="0" count="1">
            <x v="1"/>
          </reference>
        </references>
      </pivotArea>
    </format>
    <format dxfId="49">
      <pivotArea dataOnly="0" labelOnly="1" fieldPosition="0">
        <references count="1">
          <reference field="0" count="1">
            <x v="1"/>
          </reference>
        </references>
      </pivotArea>
    </format>
  </format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9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Campaign_Name">
  <location ref="A3:G10" firstHeaderRow="1" firstDataRow="2" firstDataCol="1"/>
  <pivotFields count="10"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3" baseField="0" baseItem="0"/>
    <dataField name="Average of Impressions" fld="3" subtotal="average" baseField="0" baseItem="0" numFmtId="2"/>
    <dataField name="Sum of Likes" fld="0" baseField="0" baseItem="0"/>
    <dataField name="Average of Likes" fld="0" subtotal="average" baseField="0" baseItem="0" numFmtId="2"/>
    <dataField name="Sum of Clicks" fld="5" baseField="0" baseItem="0"/>
    <dataField name="Average of Clicks" fld="5" subtotal="average" baseField="0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ampaign_Name">
  <location ref="A3:B9" firstHeaderRow="1" firstDataRow="1" firstDataCol="1"/>
  <pivotFields count="2">
    <pivotField dataField="1" showAll="0"/>
    <pivotField axis="axisRow" showAll="0">
      <items count="6">
        <item x="2"/>
        <item x="3"/>
        <item x="1"/>
        <item x="0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" fld="0" subtotal="average" baseField="0" baseItem="0" numFmtId="2"/>
  </dataFields>
  <formats count="2">
    <format dxfId="16">
      <pivotArea collapsedLevelsAreSubtotals="1" fieldPosition="0">
        <references count="1">
          <reference field="1" count="1">
            <x v="3"/>
          </reference>
        </references>
      </pivotArea>
    </format>
    <format dxfId="15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Medium13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9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ampaign_Name">
  <location ref="A3:B9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ollower_Growth_Rate" fld="3" subtotal="average" baseField="0" baseItem="0" numFmtId="2"/>
  </dataFields>
  <formats count="2">
    <format dxfId="14">
      <pivotArea collapsedLevelsAreSubtotals="1" fieldPosition="0">
        <references count="1">
          <reference field="11" count="1">
            <x v="0"/>
          </reference>
        </references>
      </pivotArea>
    </format>
    <format dxfId="13">
      <pivotArea dataOnly="0" labelOnly="1" fieldPosition="0">
        <references count="1">
          <reference field="11" count="1">
            <x v="0"/>
          </reference>
        </references>
      </pivotArea>
    </format>
  </formats>
  <pivotTableStyleInfo name="PivotStyleMedium20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Week_start_Date">
  <location ref="A3:G56" firstHeaderRow="1" firstDataRow="2" firstDataCol="1"/>
  <pivotFields count="7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Follower_Growth_Rate" fld="5" subtotal="average" baseField="0" baseItem="0" numFmtId="2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4"/>
          </reference>
        </references>
      </pivotArea>
    </chartFormat>
  </chartFormats>
  <pivotTableStyleInfo name="PivotStyleMedium24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Week_Start_Date">
  <location ref="A3:B55" firstHeaderRow="1" firstDataRow="1" firstDataCol="1"/>
  <pivotFields count="11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Average of Followers_Gain" fld="10" subtotal="average" baseField="0" baseItem="0" numFmtId="2"/>
  </dataFields>
  <formats count="4">
    <format dxfId="10">
      <pivotArea collapsedLevelsAreSubtotals="1" fieldPosition="0">
        <references count="1">
          <reference field="0" count="1">
            <x v="30"/>
          </reference>
        </references>
      </pivotArea>
    </format>
    <format dxfId="9">
      <pivotArea dataOnly="0" labelOnly="1" fieldPosition="0">
        <references count="1">
          <reference field="0" count="1">
            <x v="30"/>
          </reference>
        </references>
      </pivotArea>
    </format>
    <format dxfId="8">
      <pivotArea collapsedLevelsAreSubtotals="1" fieldPosition="0">
        <references count="1">
          <reference field="0" count="1">
            <x v="30"/>
          </reference>
        </references>
      </pivotArea>
    </format>
    <format dxfId="7">
      <pivotArea dataOnly="0" labelOnly="1" fieldPosition="0">
        <references count="1">
          <reference field="0" count="1">
            <x v="30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30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Week_Start_Date">
  <location ref="A3:B55" firstHeaderRow="1" firstDataRow="1" firstDataCol="1"/>
  <pivotFields count="6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Follower_Growth_Rat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P301" totalsRowShown="0" headerRowDxfId="104" dataDxfId="103">
  <autoFilter ref="A1:P301"/>
  <tableColumns count="16">
    <tableColumn id="1" name="Post ID" dataDxfId="102"/>
    <tableColumn id="2" name="Platform" dataDxfId="101"/>
    <tableColumn id="3" name="Date" dataDxfId="100"/>
    <tableColumn id="4" name="Content Type" dataDxfId="99"/>
    <tableColumn id="5" name="Post Text" dataDxfId="98"/>
    <tableColumn id="6" name="Likes" dataDxfId="97"/>
    <tableColumn id="7" name="Shares" dataDxfId="96"/>
    <tableColumn id="8" name="Comments" dataDxfId="95"/>
    <tableColumn id="9" name="Impressions" dataDxfId="94"/>
    <tableColumn id="10" name="Reach" dataDxfId="93"/>
    <tableColumn id="11" name="Clicks" dataDxfId="92"/>
    <tableColumn id="12" name="Hashtags Used" dataDxfId="91"/>
    <tableColumn id="13" name="Hashtags Used2" dataDxfId="90"/>
    <tableColumn id="14" name="Hashtags Used3" dataDxfId="89"/>
    <tableColumn id="15" name="Campaign_Name" dataDxfId="88"/>
    <tableColumn id="16" name="Engagement_Rate" dataDxfId="87">
      <calculatedColumnFormula>(F2+G2+H2)/I2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M201" totalsRowShown="0" headerRowDxfId="85">
  <autoFilter ref="A1:M201"/>
  <tableColumns count="13">
    <tableColumn id="1" name="Week_Start_Date" dataDxfId="84"/>
    <tableColumn id="2" name="Platform" dataDxfId="83"/>
    <tableColumn id="3" name="New_Followers" dataDxfId="82"/>
    <tableColumn id="4" name="Unfollows" dataDxfId="81"/>
    <tableColumn id="5" name="Total_Followers" dataDxfId="80"/>
    <tableColumn id="6" name="Follower_Growth_Rate" dataDxfId="79">
      <calculatedColumnFormula>((C2-D2)/E2)*100</calculatedColumnFormula>
    </tableColumn>
    <tableColumn id="7" name="Engagement_Rate" dataDxfId="78"/>
    <tableColumn id="8" name="Week_Start_Date2" dataDxfId="77"/>
    <tableColumn id="9" name="Engagement" dataDxfId="76">
      <calculatedColumnFormula>G2*100</calculatedColumnFormula>
    </tableColumn>
    <tableColumn id="10" name="Ad_Spend" dataDxfId="75"/>
    <tableColumn id="13" name="Net_Followers" dataDxfId="74">
      <calculatedColumnFormula>(C2-D2)</calculatedColumnFormula>
    </tableColumn>
    <tableColumn id="14" name="ROI" dataDxfId="73">
      <calculatedColumnFormula>(G2/J2)*100</calculatedColumnFormula>
    </tableColumn>
    <tableColumn id="15" name="Campaign_Name">
      <calculatedColumnFormula>VLOOKUP(B2,Posts!B:O,14,FALSE)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G5" totalsRowShown="0" headerRowDxfId="72" dataDxfId="70" headerRowBorderDxfId="71" tableBorderDxfId="69">
  <autoFilter ref="A1:G5"/>
  <tableColumns count="7">
    <tableColumn id="1" name="Campaign_Name" dataDxfId="68"/>
    <tableColumn id="2" name="Start_Date" dataDxfId="67"/>
    <tableColumn id="3" name="End_Date" dataDxfId="66"/>
    <tableColumn id="4" name="Objective" dataDxfId="65"/>
    <tableColumn id="5" name="Total_Budget" dataDxfId="64"/>
    <tableColumn id="6" name="Target_Platforms" dataDxfId="63"/>
    <tableColumn id="7" name="Primary_Hashtags" dataDxfId="62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1:S301" totalsRowShown="0" dataDxfId="40">
  <autoFilter ref="A1:S301"/>
  <tableColumns count="19">
    <tableColumn id="1" name="Post ID" dataDxfId="39"/>
    <tableColumn id="2" name="Platform" dataDxfId="38"/>
    <tableColumn id="3" name="Date" dataDxfId="37"/>
    <tableColumn id="4" name="Content Type" dataDxfId="36"/>
    <tableColumn id="5" name="Likes" dataDxfId="35"/>
    <tableColumn id="6" name="Shares" dataDxfId="34"/>
    <tableColumn id="7" name="Comments" dataDxfId="33"/>
    <tableColumn id="8" name="Impressions" dataDxfId="32"/>
    <tableColumn id="9" name="Reach" dataDxfId="31"/>
    <tableColumn id="10" name="Clicks" dataDxfId="30"/>
    <tableColumn id="11" name="Hashtags Used" dataDxfId="29"/>
    <tableColumn id="12" name="Hashtags Used2" dataDxfId="28"/>
    <tableColumn id="13" name="Hashtags Used3" dataDxfId="27"/>
    <tableColumn id="14" name="Campaign_Name" dataDxfId="26"/>
    <tableColumn id="15" name="Engagement" dataDxfId="25">
      <calculatedColumnFormula>((E2+F2+G2)/H2)*100</calculatedColumnFormula>
    </tableColumn>
    <tableColumn id="16" name="Period">
      <calculatedColumnFormula>IF(AND(C2&gt;=$W$2,C2&lt;=$X$2),"During","Before")</calculatedColumnFormula>
    </tableColumn>
    <tableColumn id="17" name="AVG_Before" dataDxfId="24">
      <calculatedColumnFormula>AVERAGEIF(P2:P301,"Before",O2)</calculatedColumnFormula>
    </tableColumn>
    <tableColumn id="18" name="AVG_During" dataDxfId="23">
      <calculatedColumnFormula>AVERAGEIF(P2:P301,"During",O2)</calculatedColumnFormula>
    </tableColumn>
    <tableColumn id="19" name=" Uplift%" dataDxfId="22">
      <calculatedColumnFormula>(R2-Q2)/Q2</calculatedColumnFormula>
    </tableColumn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V1:X5" totalsRowShown="0" headerRowBorderDxfId="21" tableBorderDxfId="20">
  <autoFilter ref="V1:X5"/>
  <tableColumns count="3">
    <tableColumn id="1" name="Campaign_Name" dataDxfId="19"/>
    <tableColumn id="2" name="Start_Date" dataDxfId="18"/>
    <tableColumn id="3" name="End_Date" dataDxfId="17"/>
  </tableColumns>
  <tableStyleInfo name="TableStyleMedium27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A1:C3" totalsRowShown="0" headerRowDxfId="6" dataDxfId="4" headerRowBorderDxfId="5" tableBorderDxfId="3">
  <autoFilter ref="A1:C3"/>
  <tableColumns count="3">
    <tableColumn id="1" name="Column1" dataDxfId="2"/>
    <tableColumn id="2" name="Ad_Spend" dataDxfId="1"/>
    <tableColumn id="3" name="Follower_Growth_R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0"/>
  <sheetViews>
    <sheetView zoomScale="55" zoomScaleNormal="55" workbookViewId="0">
      <pane ySplit="1" topLeftCell="A2" activePane="bottomLeft" state="frozen"/>
      <selection pane="bottomLeft" activeCell="S42" sqref="S42"/>
    </sheetView>
  </sheetViews>
  <sheetFormatPr defaultColWidth="14.44140625" defaultRowHeight="15" customHeight="1"/>
  <cols>
    <col min="1" max="1" width="10.77734375" customWidth="1"/>
    <col min="2" max="2" width="11.77734375" customWidth="1"/>
    <col min="3" max="3" width="13.88671875" style="26" customWidth="1"/>
    <col min="4" max="4" width="16.21875" customWidth="1"/>
    <col min="5" max="5" width="36.88671875" customWidth="1"/>
    <col min="6" max="6" width="14.6640625" customWidth="1"/>
    <col min="7" max="7" width="11.77734375" customWidth="1"/>
    <col min="8" max="8" width="13.33203125" customWidth="1"/>
    <col min="9" max="9" width="15.21875" customWidth="1"/>
    <col min="10" max="10" width="12" customWidth="1"/>
    <col min="11" max="11" width="10.88671875" customWidth="1"/>
    <col min="12" max="14" width="21.33203125" customWidth="1"/>
    <col min="15" max="15" width="22.6640625" customWidth="1"/>
    <col min="16" max="16" width="25" customWidth="1"/>
  </cols>
  <sheetData>
    <row r="1" spans="1:16" ht="14.4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8" t="s">
        <v>11</v>
      </c>
      <c r="M1" s="1" t="s">
        <v>424</v>
      </c>
      <c r="N1" s="1" t="s">
        <v>425</v>
      </c>
      <c r="O1" s="1" t="s">
        <v>12</v>
      </c>
      <c r="P1" s="10" t="s">
        <v>362</v>
      </c>
    </row>
    <row r="2" spans="1:16" ht="14.4">
      <c r="A2" s="2" t="s">
        <v>13</v>
      </c>
      <c r="B2" s="2" t="s">
        <v>14</v>
      </c>
      <c r="C2" s="25">
        <v>45649</v>
      </c>
      <c r="D2" s="2" t="s">
        <v>15</v>
      </c>
      <c r="E2" s="2" t="s">
        <v>16</v>
      </c>
      <c r="F2" s="2">
        <v>1461</v>
      </c>
      <c r="G2" s="2">
        <v>184</v>
      </c>
      <c r="H2" s="2">
        <v>344</v>
      </c>
      <c r="I2" s="3">
        <v>21915</v>
      </c>
      <c r="J2" s="2">
        <v>21675</v>
      </c>
      <c r="K2" s="3">
        <v>15</v>
      </c>
      <c r="L2" s="2" t="s">
        <v>50</v>
      </c>
      <c r="M2" s="2" t="s">
        <v>386</v>
      </c>
      <c r="N2" s="2" t="s">
        <v>416</v>
      </c>
      <c r="O2" s="2" t="s">
        <v>17</v>
      </c>
      <c r="P2" s="12">
        <f>(F2+G2+H2)/I2</f>
        <v>9.0759753593429152E-2</v>
      </c>
    </row>
    <row r="3" spans="1:16" ht="14.4">
      <c r="A3" s="2" t="s">
        <v>18</v>
      </c>
      <c r="B3" s="2" t="s">
        <v>14</v>
      </c>
      <c r="C3" s="25">
        <v>45750</v>
      </c>
      <c r="D3" s="2" t="s">
        <v>19</v>
      </c>
      <c r="E3" s="2" t="s">
        <v>20</v>
      </c>
      <c r="F3" s="2">
        <v>4054</v>
      </c>
      <c r="G3" s="2">
        <v>389</v>
      </c>
      <c r="H3" s="2">
        <v>493</v>
      </c>
      <c r="I3" s="3">
        <v>64864</v>
      </c>
      <c r="J3" s="2">
        <v>64383</v>
      </c>
      <c r="K3" s="3">
        <v>117</v>
      </c>
      <c r="L3" s="2" t="s">
        <v>25</v>
      </c>
      <c r="M3" s="2" t="s">
        <v>387</v>
      </c>
      <c r="N3" s="2" t="s">
        <v>416</v>
      </c>
      <c r="O3" s="2" t="s">
        <v>21</v>
      </c>
      <c r="P3" s="12">
        <f t="shared" ref="P3:P66" si="0">(F3+G3+H3)/I3</f>
        <v>7.6097681302417369E-2</v>
      </c>
    </row>
    <row r="4" spans="1:16" ht="14.4">
      <c r="A4" s="2" t="s">
        <v>22</v>
      </c>
      <c r="B4" s="2" t="s">
        <v>23</v>
      </c>
      <c r="C4" s="25">
        <v>45789</v>
      </c>
      <c r="D4" s="2" t="s">
        <v>15</v>
      </c>
      <c r="E4" s="2" t="s">
        <v>24</v>
      </c>
      <c r="F4" s="2">
        <v>2795</v>
      </c>
      <c r="G4" s="2">
        <v>105</v>
      </c>
      <c r="H4" s="2">
        <v>49</v>
      </c>
      <c r="I4" s="3">
        <v>53105</v>
      </c>
      <c r="J4" s="2">
        <v>52307</v>
      </c>
      <c r="K4" s="3">
        <v>204</v>
      </c>
      <c r="L4" s="2" t="s">
        <v>25</v>
      </c>
      <c r="M4" s="2" t="s">
        <v>416</v>
      </c>
      <c r="N4" s="2" t="s">
        <v>416</v>
      </c>
      <c r="O4" s="2" t="s">
        <v>26</v>
      </c>
      <c r="P4" s="12">
        <f t="shared" si="0"/>
        <v>5.5531494209584788E-2</v>
      </c>
    </row>
    <row r="5" spans="1:16" ht="14.4">
      <c r="A5" s="2" t="s">
        <v>27</v>
      </c>
      <c r="B5" s="2" t="s">
        <v>28</v>
      </c>
      <c r="C5" s="25">
        <v>45516</v>
      </c>
      <c r="D5" s="2" t="s">
        <v>29</v>
      </c>
      <c r="E5" s="2" t="s">
        <v>30</v>
      </c>
      <c r="F5" s="2">
        <v>2404</v>
      </c>
      <c r="G5" s="2">
        <v>363</v>
      </c>
      <c r="H5" s="2">
        <v>138</v>
      </c>
      <c r="I5" s="3">
        <v>19232</v>
      </c>
      <c r="J5" s="2">
        <v>18636</v>
      </c>
      <c r="K5" s="3">
        <v>128</v>
      </c>
      <c r="L5" s="2" t="s">
        <v>31</v>
      </c>
      <c r="M5" s="32" t="s">
        <v>416</v>
      </c>
      <c r="N5" s="32" t="s">
        <v>416</v>
      </c>
      <c r="O5" s="2" t="s">
        <v>32</v>
      </c>
      <c r="P5" s="12">
        <f t="shared" si="0"/>
        <v>0.15105033277870217</v>
      </c>
    </row>
    <row r="6" spans="1:16" ht="14.4">
      <c r="A6" s="2" t="s">
        <v>33</v>
      </c>
      <c r="B6" s="2" t="s">
        <v>23</v>
      </c>
      <c r="C6" s="25">
        <v>45469</v>
      </c>
      <c r="D6" s="2" t="s">
        <v>15</v>
      </c>
      <c r="E6" s="2" t="s">
        <v>24</v>
      </c>
      <c r="F6" s="2">
        <v>3557</v>
      </c>
      <c r="G6" s="2">
        <v>687</v>
      </c>
      <c r="H6" s="2">
        <v>424</v>
      </c>
      <c r="I6" s="3">
        <v>71140</v>
      </c>
      <c r="J6" s="2">
        <v>70701</v>
      </c>
      <c r="K6" s="3">
        <v>224</v>
      </c>
      <c r="L6" s="2" t="s">
        <v>31</v>
      </c>
      <c r="M6" s="2" t="s">
        <v>25</v>
      </c>
      <c r="N6" s="32" t="s">
        <v>416</v>
      </c>
      <c r="O6" s="2" t="s">
        <v>17</v>
      </c>
      <c r="P6" s="12">
        <f t="shared" si="0"/>
        <v>6.5617093055946027E-2</v>
      </c>
    </row>
    <row r="7" spans="1:16" ht="14.4">
      <c r="A7" s="2" t="s">
        <v>35</v>
      </c>
      <c r="B7" s="2" t="s">
        <v>36</v>
      </c>
      <c r="C7" s="25">
        <v>45596</v>
      </c>
      <c r="D7" s="2" t="s">
        <v>38</v>
      </c>
      <c r="E7" s="2" t="s">
        <v>39</v>
      </c>
      <c r="F7" s="2">
        <v>2945</v>
      </c>
      <c r="G7" s="2">
        <v>930</v>
      </c>
      <c r="H7" s="2">
        <v>355</v>
      </c>
      <c r="I7" s="3">
        <v>23560</v>
      </c>
      <c r="J7" s="2">
        <v>23275</v>
      </c>
      <c r="K7" s="3">
        <v>256</v>
      </c>
      <c r="L7" s="2" t="s">
        <v>25</v>
      </c>
      <c r="M7" s="2" t="s">
        <v>416</v>
      </c>
      <c r="N7" s="32" t="s">
        <v>416</v>
      </c>
      <c r="O7" s="2" t="s">
        <v>21</v>
      </c>
      <c r="P7" s="12">
        <f t="shared" si="0"/>
        <v>0.17954159592529711</v>
      </c>
    </row>
    <row r="8" spans="1:16" ht="14.4">
      <c r="A8" s="2" t="s">
        <v>40</v>
      </c>
      <c r="B8" s="2" t="s">
        <v>14</v>
      </c>
      <c r="C8" s="25">
        <v>45467</v>
      </c>
      <c r="D8" s="2" t="s">
        <v>38</v>
      </c>
      <c r="E8" s="2" t="s">
        <v>41</v>
      </c>
      <c r="F8" s="2">
        <v>3860</v>
      </c>
      <c r="G8" s="2">
        <v>201</v>
      </c>
      <c r="H8" s="2">
        <v>279</v>
      </c>
      <c r="I8" s="3">
        <v>61760</v>
      </c>
      <c r="J8" s="2">
        <v>61660</v>
      </c>
      <c r="K8" s="3">
        <v>235</v>
      </c>
      <c r="L8" s="2" t="s">
        <v>25</v>
      </c>
      <c r="M8" s="2" t="s">
        <v>416</v>
      </c>
      <c r="N8" s="32" t="s">
        <v>416</v>
      </c>
      <c r="O8" s="2" t="s">
        <v>21</v>
      </c>
      <c r="P8" s="12">
        <f t="shared" si="0"/>
        <v>7.0272020725388601E-2</v>
      </c>
    </row>
    <row r="9" spans="1:16" ht="14.4">
      <c r="A9" s="2" t="s">
        <v>42</v>
      </c>
      <c r="B9" s="2" t="s">
        <v>23</v>
      </c>
      <c r="C9" s="25">
        <v>45486</v>
      </c>
      <c r="D9" s="2" t="s">
        <v>43</v>
      </c>
      <c r="E9" s="2" t="s">
        <v>44</v>
      </c>
      <c r="F9" s="2">
        <v>3929</v>
      </c>
      <c r="G9" s="2">
        <v>262</v>
      </c>
      <c r="H9" s="2">
        <v>278</v>
      </c>
      <c r="I9" s="3">
        <v>43219</v>
      </c>
      <c r="J9" s="2">
        <v>42841</v>
      </c>
      <c r="K9" s="3">
        <v>39</v>
      </c>
      <c r="L9" s="2" t="s">
        <v>31</v>
      </c>
      <c r="M9" s="2" t="s">
        <v>416</v>
      </c>
      <c r="N9" s="32" t="s">
        <v>416</v>
      </c>
      <c r="O9" s="2" t="s">
        <v>32</v>
      </c>
      <c r="P9" s="12">
        <f t="shared" si="0"/>
        <v>0.10340359564080613</v>
      </c>
    </row>
    <row r="10" spans="1:16" ht="14.4">
      <c r="A10" s="2" t="s">
        <v>45</v>
      </c>
      <c r="B10" s="2" t="s">
        <v>36</v>
      </c>
      <c r="C10" s="25">
        <v>45534</v>
      </c>
      <c r="D10" s="2" t="s">
        <v>19</v>
      </c>
      <c r="E10" s="2" t="s">
        <v>46</v>
      </c>
      <c r="F10" s="2">
        <v>3784</v>
      </c>
      <c r="G10" s="2">
        <v>808</v>
      </c>
      <c r="H10" s="2">
        <v>404</v>
      </c>
      <c r="I10" s="3">
        <v>56760</v>
      </c>
      <c r="J10" s="2">
        <v>56343</v>
      </c>
      <c r="K10" s="3">
        <v>131</v>
      </c>
      <c r="L10" s="2" t="s">
        <v>25</v>
      </c>
      <c r="M10" s="2" t="s">
        <v>416</v>
      </c>
      <c r="N10" s="32" t="s">
        <v>416</v>
      </c>
      <c r="O10" s="2" t="s">
        <v>21</v>
      </c>
      <c r="P10" s="12">
        <f t="shared" si="0"/>
        <v>8.8019732205778717E-2</v>
      </c>
    </row>
    <row r="11" spans="1:16" ht="14.4">
      <c r="A11" s="2" t="s">
        <v>47</v>
      </c>
      <c r="B11" s="2" t="s">
        <v>36</v>
      </c>
      <c r="C11" s="25">
        <v>45727</v>
      </c>
      <c r="D11" s="2" t="s">
        <v>43</v>
      </c>
      <c r="E11" s="2" t="s">
        <v>48</v>
      </c>
      <c r="F11" s="2">
        <v>4241</v>
      </c>
      <c r="G11" s="2">
        <v>902</v>
      </c>
      <c r="H11" s="2">
        <v>47</v>
      </c>
      <c r="I11" s="3">
        <v>72097</v>
      </c>
      <c r="J11" s="2">
        <v>71598</v>
      </c>
      <c r="K11" s="3">
        <v>167</v>
      </c>
      <c r="L11" s="2" t="s">
        <v>25</v>
      </c>
      <c r="M11" s="2" t="s">
        <v>416</v>
      </c>
      <c r="N11" s="32" t="s">
        <v>416</v>
      </c>
      <c r="O11" s="2" t="s">
        <v>21</v>
      </c>
      <c r="P11" s="12">
        <f t="shared" si="0"/>
        <v>7.198635172059864E-2</v>
      </c>
    </row>
    <row r="12" spans="1:16" ht="14.4">
      <c r="A12" s="2" t="s">
        <v>49</v>
      </c>
      <c r="B12" s="2" t="s">
        <v>28</v>
      </c>
      <c r="C12" s="25">
        <v>45690</v>
      </c>
      <c r="D12" s="2" t="s">
        <v>29</v>
      </c>
      <c r="E12" s="2" t="s">
        <v>30</v>
      </c>
      <c r="F12" s="2">
        <v>1792</v>
      </c>
      <c r="G12" s="2">
        <v>614</v>
      </c>
      <c r="H12" s="2">
        <v>497</v>
      </c>
      <c r="I12" s="3">
        <v>25088</v>
      </c>
      <c r="J12" s="2">
        <v>24675</v>
      </c>
      <c r="K12" s="3">
        <v>65</v>
      </c>
      <c r="L12" s="2" t="s">
        <v>50</v>
      </c>
      <c r="M12" s="2" t="s">
        <v>416</v>
      </c>
      <c r="N12" s="32" t="s">
        <v>416</v>
      </c>
      <c r="O12" s="2" t="s">
        <v>32</v>
      </c>
      <c r="P12" s="12">
        <f t="shared" si="0"/>
        <v>0.11571269132653061</v>
      </c>
    </row>
    <row r="13" spans="1:16" ht="14.4">
      <c r="A13" s="2" t="s">
        <v>51</v>
      </c>
      <c r="B13" s="2" t="s">
        <v>36</v>
      </c>
      <c r="C13" s="25">
        <v>45494</v>
      </c>
      <c r="D13" s="2" t="s">
        <v>15</v>
      </c>
      <c r="E13" s="2" t="s">
        <v>52</v>
      </c>
      <c r="F13" s="2">
        <v>1946</v>
      </c>
      <c r="G13" s="2">
        <v>686</v>
      </c>
      <c r="H13" s="2">
        <v>377</v>
      </c>
      <c r="I13" s="3">
        <v>23352</v>
      </c>
      <c r="J13" s="2">
        <v>22982</v>
      </c>
      <c r="K13" s="3">
        <v>213</v>
      </c>
      <c r="L13" s="2" t="s">
        <v>50</v>
      </c>
      <c r="M13" s="2" t="s">
        <v>416</v>
      </c>
      <c r="N13" s="32" t="s">
        <v>416</v>
      </c>
      <c r="O13" s="2" t="s">
        <v>26</v>
      </c>
      <c r="P13" s="12">
        <f t="shared" si="0"/>
        <v>0.12885405960945528</v>
      </c>
    </row>
    <row r="14" spans="1:16" ht="14.4">
      <c r="A14" s="2" t="s">
        <v>53</v>
      </c>
      <c r="B14" s="2" t="s">
        <v>23</v>
      </c>
      <c r="C14" s="25">
        <v>45614</v>
      </c>
      <c r="D14" s="2" t="s">
        <v>38</v>
      </c>
      <c r="E14" s="2" t="s">
        <v>54</v>
      </c>
      <c r="F14" s="2">
        <v>1171</v>
      </c>
      <c r="G14" s="2">
        <v>286</v>
      </c>
      <c r="H14" s="2">
        <v>231</v>
      </c>
      <c r="I14" s="3">
        <v>22249</v>
      </c>
      <c r="J14" s="2">
        <v>21282</v>
      </c>
      <c r="K14" s="3">
        <v>114</v>
      </c>
      <c r="L14" s="2" t="s">
        <v>31</v>
      </c>
      <c r="M14" s="2" t="s">
        <v>416</v>
      </c>
      <c r="N14" s="32" t="s">
        <v>416</v>
      </c>
      <c r="O14" s="2" t="s">
        <v>17</v>
      </c>
      <c r="P14" s="12">
        <f t="shared" si="0"/>
        <v>7.5868578363072495E-2</v>
      </c>
    </row>
    <row r="15" spans="1:16" ht="14.4">
      <c r="A15" s="2" t="s">
        <v>55</v>
      </c>
      <c r="B15" s="2" t="s">
        <v>36</v>
      </c>
      <c r="C15" s="25">
        <v>45704</v>
      </c>
      <c r="D15" s="2" t="s">
        <v>29</v>
      </c>
      <c r="E15" s="2" t="s">
        <v>56</v>
      </c>
      <c r="F15" s="2">
        <v>4242</v>
      </c>
      <c r="G15" s="2">
        <v>555</v>
      </c>
      <c r="H15" s="2">
        <v>131</v>
      </c>
      <c r="I15" s="3">
        <v>33936</v>
      </c>
      <c r="J15" s="2">
        <v>33802</v>
      </c>
      <c r="K15" s="3">
        <v>265</v>
      </c>
      <c r="L15" s="2" t="s">
        <v>50</v>
      </c>
      <c r="M15" s="2" t="s">
        <v>416</v>
      </c>
      <c r="N15" s="32" t="s">
        <v>416</v>
      </c>
      <c r="P15" s="12">
        <f t="shared" si="0"/>
        <v>0.14521452145214522</v>
      </c>
    </row>
    <row r="16" spans="1:16" ht="14.4">
      <c r="A16" s="2" t="s">
        <v>57</v>
      </c>
      <c r="B16" s="2" t="s">
        <v>36</v>
      </c>
      <c r="C16" s="25">
        <v>45589</v>
      </c>
      <c r="D16" s="2" t="s">
        <v>58</v>
      </c>
      <c r="E16" s="2" t="s">
        <v>59</v>
      </c>
      <c r="F16" s="2">
        <v>3888</v>
      </c>
      <c r="G16" s="2">
        <v>604</v>
      </c>
      <c r="H16" s="2">
        <v>128</v>
      </c>
      <c r="I16" s="3">
        <v>77760</v>
      </c>
      <c r="J16" s="2">
        <v>77167</v>
      </c>
      <c r="K16" s="3">
        <v>20</v>
      </c>
      <c r="L16" s="2" t="s">
        <v>50</v>
      </c>
      <c r="M16" s="2" t="s">
        <v>416</v>
      </c>
      <c r="N16" s="32" t="s">
        <v>416</v>
      </c>
      <c r="O16" s="2" t="s">
        <v>17</v>
      </c>
      <c r="P16" s="12">
        <f t="shared" si="0"/>
        <v>5.941358024691358E-2</v>
      </c>
    </row>
    <row r="17" spans="1:16" ht="14.4">
      <c r="A17" s="2" t="s">
        <v>60</v>
      </c>
      <c r="B17" s="2" t="s">
        <v>36</v>
      </c>
      <c r="C17" s="25">
        <v>45530</v>
      </c>
      <c r="D17" s="2" t="s">
        <v>19</v>
      </c>
      <c r="E17" s="2" t="s">
        <v>46</v>
      </c>
      <c r="F17" s="2">
        <v>3452</v>
      </c>
      <c r="G17" s="2">
        <v>377</v>
      </c>
      <c r="H17" s="2">
        <v>360</v>
      </c>
      <c r="I17" s="3">
        <v>55232</v>
      </c>
      <c r="J17" s="2">
        <v>55075</v>
      </c>
      <c r="K17" s="3">
        <v>87</v>
      </c>
      <c r="L17" s="2" t="s">
        <v>50</v>
      </c>
      <c r="M17" s="2" t="s">
        <v>416</v>
      </c>
      <c r="N17" s="32" t="s">
        <v>416</v>
      </c>
      <c r="O17" s="2" t="s">
        <v>26</v>
      </c>
      <c r="P17" s="12">
        <f t="shared" si="0"/>
        <v>7.5843713789107758E-2</v>
      </c>
    </row>
    <row r="18" spans="1:16" ht="14.4">
      <c r="A18" s="2" t="s">
        <v>61</v>
      </c>
      <c r="B18" s="2" t="s">
        <v>36</v>
      </c>
      <c r="C18" s="25">
        <v>45782</v>
      </c>
      <c r="D18" s="2" t="s">
        <v>19</v>
      </c>
      <c r="E18" s="2" t="s">
        <v>46</v>
      </c>
      <c r="F18" s="2">
        <v>4441</v>
      </c>
      <c r="G18" s="2">
        <v>511</v>
      </c>
      <c r="H18" s="2">
        <v>70</v>
      </c>
      <c r="I18" s="3">
        <v>53292</v>
      </c>
      <c r="J18" s="2">
        <v>53082</v>
      </c>
      <c r="K18" s="3">
        <v>159</v>
      </c>
      <c r="L18" s="2" t="s">
        <v>31</v>
      </c>
      <c r="M18" s="2" t="s">
        <v>416</v>
      </c>
      <c r="N18" s="32" t="s">
        <v>416</v>
      </c>
      <c r="O18" s="2" t="s">
        <v>32</v>
      </c>
      <c r="P18" s="12">
        <f t="shared" si="0"/>
        <v>9.4235532537716729E-2</v>
      </c>
    </row>
    <row r="19" spans="1:16" ht="14.4">
      <c r="A19" s="2" t="s">
        <v>62</v>
      </c>
      <c r="B19" s="2" t="s">
        <v>28</v>
      </c>
      <c r="C19" s="25">
        <v>45523</v>
      </c>
      <c r="D19" s="2" t="s">
        <v>15</v>
      </c>
      <c r="E19" s="2" t="s">
        <v>63</v>
      </c>
      <c r="F19" s="2">
        <v>3000</v>
      </c>
      <c r="G19" s="2">
        <v>382</v>
      </c>
      <c r="H19" s="2">
        <v>325</v>
      </c>
      <c r="I19" s="3">
        <v>36000</v>
      </c>
      <c r="J19" s="2">
        <v>35819</v>
      </c>
      <c r="K19" s="3">
        <v>19</v>
      </c>
      <c r="L19" s="2" t="s">
        <v>50</v>
      </c>
      <c r="M19" s="2" t="s">
        <v>416</v>
      </c>
      <c r="N19" s="32" t="s">
        <v>416</v>
      </c>
      <c r="O19" s="2" t="s">
        <v>17</v>
      </c>
      <c r="P19" s="12">
        <f t="shared" si="0"/>
        <v>0.10297222222222223</v>
      </c>
    </row>
    <row r="20" spans="1:16" ht="14.4">
      <c r="A20" s="2" t="s">
        <v>64</v>
      </c>
      <c r="B20" s="2" t="s">
        <v>28</v>
      </c>
      <c r="C20" s="25">
        <v>45466</v>
      </c>
      <c r="D20" s="2" t="s">
        <v>58</v>
      </c>
      <c r="E20" s="2" t="s">
        <v>65</v>
      </c>
      <c r="F20" s="2">
        <v>1071</v>
      </c>
      <c r="G20" s="2">
        <v>519</v>
      </c>
      <c r="H20" s="2">
        <v>22</v>
      </c>
      <c r="I20" s="3">
        <v>16065</v>
      </c>
      <c r="J20" s="2">
        <v>15865</v>
      </c>
      <c r="K20" s="3">
        <v>103</v>
      </c>
      <c r="L20" s="2" t="s">
        <v>25</v>
      </c>
      <c r="M20" s="2" t="s">
        <v>416</v>
      </c>
      <c r="N20" s="32" t="s">
        <v>416</v>
      </c>
      <c r="O20" s="2" t="s">
        <v>32</v>
      </c>
      <c r="P20" s="12">
        <f t="shared" si="0"/>
        <v>0.10034235916588857</v>
      </c>
    </row>
    <row r="21" spans="1:16" ht="15.75" customHeight="1">
      <c r="A21" s="2" t="s">
        <v>66</v>
      </c>
      <c r="B21" s="2" t="s">
        <v>28</v>
      </c>
      <c r="C21" s="25">
        <v>45544</v>
      </c>
      <c r="D21" s="2" t="s">
        <v>38</v>
      </c>
      <c r="E21" s="2" t="s">
        <v>67</v>
      </c>
      <c r="F21" s="2">
        <v>4054</v>
      </c>
      <c r="G21" s="2">
        <v>488</v>
      </c>
      <c r="H21" s="2">
        <v>373</v>
      </c>
      <c r="I21" s="3">
        <v>77026</v>
      </c>
      <c r="J21" s="2">
        <v>76881</v>
      </c>
      <c r="K21" s="3">
        <v>25</v>
      </c>
      <c r="L21" s="2" t="s">
        <v>25</v>
      </c>
      <c r="M21" s="2" t="s">
        <v>416</v>
      </c>
      <c r="N21" s="32" t="s">
        <v>416</v>
      </c>
      <c r="O21" s="2" t="s">
        <v>17</v>
      </c>
      <c r="P21" s="12">
        <f t="shared" si="0"/>
        <v>6.3809622724794221E-2</v>
      </c>
    </row>
    <row r="22" spans="1:16" ht="15.75" customHeight="1">
      <c r="A22" s="2" t="s">
        <v>68</v>
      </c>
      <c r="B22" s="2" t="s">
        <v>28</v>
      </c>
      <c r="C22" s="25">
        <v>45661</v>
      </c>
      <c r="D22" s="2" t="s">
        <v>15</v>
      </c>
      <c r="E22" s="2" t="s">
        <v>63</v>
      </c>
      <c r="F22" s="2">
        <v>4838</v>
      </c>
      <c r="G22" s="2">
        <v>640</v>
      </c>
      <c r="H22" s="2">
        <v>128</v>
      </c>
      <c r="I22" s="3">
        <v>72570</v>
      </c>
      <c r="J22" s="2">
        <v>72396</v>
      </c>
      <c r="K22" s="3">
        <v>83</v>
      </c>
      <c r="L22" s="2" t="s">
        <v>50</v>
      </c>
      <c r="M22" s="2" t="s">
        <v>416</v>
      </c>
      <c r="N22" s="32" t="s">
        <v>416</v>
      </c>
      <c r="O22" s="2" t="s">
        <v>32</v>
      </c>
      <c r="P22" s="12">
        <f t="shared" si="0"/>
        <v>7.7249552156538517E-2</v>
      </c>
    </row>
    <row r="23" spans="1:16" ht="15.75" customHeight="1">
      <c r="A23" s="2" t="s">
        <v>69</v>
      </c>
      <c r="B23" s="2" t="s">
        <v>36</v>
      </c>
      <c r="C23" s="25">
        <v>45715</v>
      </c>
      <c r="D23" s="2" t="s">
        <v>19</v>
      </c>
      <c r="E23" s="2" t="s">
        <v>46</v>
      </c>
      <c r="F23" s="2">
        <v>1570</v>
      </c>
      <c r="G23" s="2">
        <v>187</v>
      </c>
      <c r="H23" s="2">
        <v>260</v>
      </c>
      <c r="I23" s="3">
        <v>25120</v>
      </c>
      <c r="J23" s="2">
        <v>24613</v>
      </c>
      <c r="K23" s="3">
        <v>133</v>
      </c>
      <c r="L23" s="2" t="s">
        <v>25</v>
      </c>
      <c r="M23" s="2" t="s">
        <v>416</v>
      </c>
      <c r="N23" s="32" t="s">
        <v>416</v>
      </c>
      <c r="O23" s="2" t="s">
        <v>32</v>
      </c>
      <c r="P23" s="12">
        <f t="shared" si="0"/>
        <v>8.0294585987261149E-2</v>
      </c>
    </row>
    <row r="24" spans="1:16" ht="15.75" customHeight="1">
      <c r="A24" s="2" t="s">
        <v>70</v>
      </c>
      <c r="B24" s="2" t="s">
        <v>36</v>
      </c>
      <c r="C24" s="25">
        <v>45602</v>
      </c>
      <c r="D24" s="2" t="s">
        <v>58</v>
      </c>
      <c r="E24" s="2" t="s">
        <v>59</v>
      </c>
      <c r="F24" s="2">
        <v>1606</v>
      </c>
      <c r="G24" s="2">
        <v>547</v>
      </c>
      <c r="H24" s="2">
        <v>316</v>
      </c>
      <c r="I24" s="3">
        <v>32120</v>
      </c>
      <c r="J24" s="2">
        <v>31736</v>
      </c>
      <c r="K24" s="3">
        <v>225</v>
      </c>
      <c r="L24" s="2" t="s">
        <v>25</v>
      </c>
      <c r="M24" s="2" t="s">
        <v>386</v>
      </c>
      <c r="N24" s="32" t="s">
        <v>416</v>
      </c>
      <c r="O24" s="2" t="s">
        <v>21</v>
      </c>
      <c r="P24" s="12">
        <f t="shared" si="0"/>
        <v>7.6867995018679955E-2</v>
      </c>
    </row>
    <row r="25" spans="1:16" ht="15.75" customHeight="1">
      <c r="A25" s="2" t="s">
        <v>71</v>
      </c>
      <c r="B25" s="2" t="s">
        <v>36</v>
      </c>
      <c r="C25" s="25">
        <v>45680</v>
      </c>
      <c r="D25" s="2" t="s">
        <v>58</v>
      </c>
      <c r="E25" s="2" t="s">
        <v>59</v>
      </c>
      <c r="F25" s="2">
        <v>3961</v>
      </c>
      <c r="G25" s="2">
        <v>761</v>
      </c>
      <c r="H25" s="2">
        <v>131</v>
      </c>
      <c r="I25" s="3">
        <v>67337</v>
      </c>
      <c r="J25" s="2">
        <v>66615</v>
      </c>
      <c r="K25" s="3">
        <v>161</v>
      </c>
      <c r="L25" s="2" t="s">
        <v>50</v>
      </c>
      <c r="M25" s="2" t="s">
        <v>416</v>
      </c>
      <c r="N25" s="32" t="s">
        <v>416</v>
      </c>
      <c r="O25" s="2" t="s">
        <v>26</v>
      </c>
      <c r="P25" s="12">
        <f t="shared" si="0"/>
        <v>7.2070332803659209E-2</v>
      </c>
    </row>
    <row r="26" spans="1:16" ht="15.75" customHeight="1">
      <c r="A26" s="2" t="s">
        <v>72</v>
      </c>
      <c r="B26" s="2" t="s">
        <v>14</v>
      </c>
      <c r="C26" s="25">
        <v>45757</v>
      </c>
      <c r="D26" s="2" t="s">
        <v>38</v>
      </c>
      <c r="E26" s="2" t="s">
        <v>41</v>
      </c>
      <c r="F26" s="2">
        <v>3128</v>
      </c>
      <c r="G26" s="2">
        <v>211</v>
      </c>
      <c r="H26" s="2">
        <v>197</v>
      </c>
      <c r="I26" s="3">
        <v>59432</v>
      </c>
      <c r="J26" s="2">
        <v>59182</v>
      </c>
      <c r="K26" s="3">
        <v>238</v>
      </c>
      <c r="L26" s="2" t="s">
        <v>31</v>
      </c>
      <c r="M26" s="2" t="s">
        <v>416</v>
      </c>
      <c r="N26" s="32" t="s">
        <v>416</v>
      </c>
      <c r="P26" s="12">
        <f t="shared" si="0"/>
        <v>5.9496567505720827E-2</v>
      </c>
    </row>
    <row r="27" spans="1:16" ht="15.75" customHeight="1">
      <c r="A27" s="2" t="s">
        <v>73</v>
      </c>
      <c r="B27" s="2" t="s">
        <v>23</v>
      </c>
      <c r="C27" s="25">
        <v>45752</v>
      </c>
      <c r="D27" s="2" t="s">
        <v>15</v>
      </c>
      <c r="E27" s="2" t="s">
        <v>24</v>
      </c>
      <c r="F27" s="2">
        <v>3009</v>
      </c>
      <c r="G27" s="2">
        <v>413</v>
      </c>
      <c r="H27" s="2">
        <v>358</v>
      </c>
      <c r="I27" s="3">
        <v>42126</v>
      </c>
      <c r="J27" s="2">
        <v>41309</v>
      </c>
      <c r="K27" s="3">
        <v>211</v>
      </c>
      <c r="L27" s="2" t="s">
        <v>50</v>
      </c>
      <c r="M27" s="2" t="s">
        <v>416</v>
      </c>
      <c r="N27" s="32" t="s">
        <v>416</v>
      </c>
      <c r="O27" s="2" t="s">
        <v>21</v>
      </c>
      <c r="P27" s="12">
        <f t="shared" si="0"/>
        <v>8.9730807577268201E-2</v>
      </c>
    </row>
    <row r="28" spans="1:16" ht="15.75" customHeight="1">
      <c r="A28" s="2" t="s">
        <v>74</v>
      </c>
      <c r="B28" s="2" t="s">
        <v>23</v>
      </c>
      <c r="C28" s="25">
        <v>45552</v>
      </c>
      <c r="D28" s="2" t="s">
        <v>19</v>
      </c>
      <c r="E28" s="2" t="s">
        <v>75</v>
      </c>
      <c r="F28" s="2">
        <v>2076</v>
      </c>
      <c r="G28" s="2">
        <v>195</v>
      </c>
      <c r="H28" s="2">
        <v>104</v>
      </c>
      <c r="I28" s="3">
        <v>33216</v>
      </c>
      <c r="J28" s="2">
        <v>32244</v>
      </c>
      <c r="K28" s="3">
        <v>51</v>
      </c>
      <c r="L28" s="2" t="s">
        <v>50</v>
      </c>
      <c r="M28" s="2" t="s">
        <v>416</v>
      </c>
      <c r="N28" s="32" t="s">
        <v>416</v>
      </c>
      <c r="O28" s="2" t="s">
        <v>32</v>
      </c>
      <c r="P28" s="12">
        <f t="shared" si="0"/>
        <v>7.1501685934489398E-2</v>
      </c>
    </row>
    <row r="29" spans="1:16" ht="15.75" customHeight="1">
      <c r="A29" s="2" t="s">
        <v>76</v>
      </c>
      <c r="B29" s="2" t="s">
        <v>28</v>
      </c>
      <c r="C29" s="25">
        <v>45720</v>
      </c>
      <c r="D29" s="2" t="s">
        <v>58</v>
      </c>
      <c r="E29" s="2" t="s">
        <v>65</v>
      </c>
      <c r="F29" s="2">
        <v>432</v>
      </c>
      <c r="G29" s="2">
        <v>624</v>
      </c>
      <c r="H29" s="2">
        <v>123</v>
      </c>
      <c r="I29" s="3">
        <v>6912</v>
      </c>
      <c r="J29" s="2">
        <v>6259</v>
      </c>
      <c r="K29" s="3">
        <v>79</v>
      </c>
      <c r="L29" s="2" t="s">
        <v>50</v>
      </c>
      <c r="M29" s="2" t="s">
        <v>416</v>
      </c>
      <c r="N29" s="32" t="s">
        <v>416</v>
      </c>
      <c r="O29" s="2" t="s">
        <v>32</v>
      </c>
      <c r="P29" s="12">
        <f t="shared" si="0"/>
        <v>0.17057291666666666</v>
      </c>
    </row>
    <row r="30" spans="1:16" ht="15.75" customHeight="1">
      <c r="A30" s="2" t="s">
        <v>77</v>
      </c>
      <c r="B30" s="2" t="s">
        <v>28</v>
      </c>
      <c r="C30" s="25">
        <v>45688</v>
      </c>
      <c r="D30" s="2" t="s">
        <v>38</v>
      </c>
      <c r="E30" s="2" t="s">
        <v>67</v>
      </c>
      <c r="F30" s="2">
        <v>2566</v>
      </c>
      <c r="G30" s="2">
        <v>118</v>
      </c>
      <c r="H30" s="2">
        <v>37</v>
      </c>
      <c r="I30" s="3">
        <v>12830</v>
      </c>
      <c r="J30" s="2">
        <v>12264</v>
      </c>
      <c r="K30" s="3">
        <v>221</v>
      </c>
      <c r="L30" s="2" t="s">
        <v>50</v>
      </c>
      <c r="M30" s="2" t="s">
        <v>416</v>
      </c>
      <c r="N30" s="32" t="s">
        <v>416</v>
      </c>
      <c r="O30" s="2" t="s">
        <v>26</v>
      </c>
      <c r="P30" s="12">
        <f t="shared" si="0"/>
        <v>0.21208106001558846</v>
      </c>
    </row>
    <row r="31" spans="1:16" ht="15.75" customHeight="1">
      <c r="A31" s="2" t="s">
        <v>78</v>
      </c>
      <c r="B31" s="2" t="s">
        <v>28</v>
      </c>
      <c r="C31" s="25">
        <v>45713</v>
      </c>
      <c r="D31" s="2" t="s">
        <v>58</v>
      </c>
      <c r="E31" s="2" t="s">
        <v>65</v>
      </c>
      <c r="F31" s="2">
        <v>3095</v>
      </c>
      <c r="G31" s="2">
        <v>39</v>
      </c>
      <c r="H31" s="2">
        <v>78</v>
      </c>
      <c r="I31" s="3">
        <v>55710</v>
      </c>
      <c r="J31" s="2">
        <v>54808</v>
      </c>
      <c r="K31" s="3">
        <v>93</v>
      </c>
      <c r="L31" s="2" t="s">
        <v>31</v>
      </c>
      <c r="M31" s="2" t="s">
        <v>416</v>
      </c>
      <c r="N31" s="32" t="s">
        <v>416</v>
      </c>
      <c r="P31" s="12">
        <f t="shared" si="0"/>
        <v>5.7655717106444085E-2</v>
      </c>
    </row>
    <row r="32" spans="1:16" ht="15.75" customHeight="1">
      <c r="A32" s="2" t="s">
        <v>79</v>
      </c>
      <c r="B32" s="2" t="s">
        <v>28</v>
      </c>
      <c r="C32" s="25">
        <v>45642</v>
      </c>
      <c r="D32" s="2" t="s">
        <v>19</v>
      </c>
      <c r="E32" s="2" t="s">
        <v>80</v>
      </c>
      <c r="F32" s="2">
        <v>438</v>
      </c>
      <c r="G32" s="2">
        <v>153</v>
      </c>
      <c r="H32" s="2">
        <v>275</v>
      </c>
      <c r="I32" s="3">
        <v>3066</v>
      </c>
      <c r="J32" s="2">
        <v>2701</v>
      </c>
      <c r="K32" s="3">
        <v>282</v>
      </c>
      <c r="L32" s="2" t="s">
        <v>25</v>
      </c>
      <c r="M32" s="2" t="s">
        <v>416</v>
      </c>
      <c r="N32" s="32" t="s">
        <v>416</v>
      </c>
      <c r="O32" s="2" t="s">
        <v>21</v>
      </c>
      <c r="P32" s="12">
        <f t="shared" si="0"/>
        <v>0.28245270711024134</v>
      </c>
    </row>
    <row r="33" spans="1:16" ht="15.75" customHeight="1">
      <c r="A33" s="2" t="s">
        <v>81</v>
      </c>
      <c r="B33" s="2" t="s">
        <v>14</v>
      </c>
      <c r="C33" s="25">
        <v>45504</v>
      </c>
      <c r="D33" s="2" t="s">
        <v>38</v>
      </c>
      <c r="E33" s="2" t="s">
        <v>41</v>
      </c>
      <c r="F33" s="2">
        <v>2278</v>
      </c>
      <c r="G33" s="2">
        <v>10</v>
      </c>
      <c r="H33" s="2">
        <v>321</v>
      </c>
      <c r="I33" s="3">
        <v>13668</v>
      </c>
      <c r="J33" s="2">
        <v>12676</v>
      </c>
      <c r="K33" s="3">
        <v>275</v>
      </c>
      <c r="L33" s="2" t="s">
        <v>31</v>
      </c>
      <c r="M33" s="2" t="s">
        <v>416</v>
      </c>
      <c r="N33" s="32" t="s">
        <v>416</v>
      </c>
      <c r="O33" s="2" t="s">
        <v>17</v>
      </c>
      <c r="P33" s="12">
        <f t="shared" si="0"/>
        <v>0.19088381621305239</v>
      </c>
    </row>
    <row r="34" spans="1:16" ht="15.75" customHeight="1">
      <c r="A34" s="2" t="s">
        <v>82</v>
      </c>
      <c r="B34" s="2" t="s">
        <v>36</v>
      </c>
      <c r="C34" s="25">
        <v>45525</v>
      </c>
      <c r="D34" s="2" t="s">
        <v>43</v>
      </c>
      <c r="E34" s="2" t="s">
        <v>48</v>
      </c>
      <c r="F34" s="2">
        <v>1407</v>
      </c>
      <c r="G34" s="2">
        <v>400</v>
      </c>
      <c r="H34" s="2">
        <v>351</v>
      </c>
      <c r="I34" s="3">
        <v>16884</v>
      </c>
      <c r="J34" s="2">
        <v>15954</v>
      </c>
      <c r="K34" s="3">
        <v>113</v>
      </c>
      <c r="L34" s="2" t="s">
        <v>25</v>
      </c>
      <c r="M34" s="2" t="s">
        <v>416</v>
      </c>
      <c r="N34" s="32" t="s">
        <v>416</v>
      </c>
      <c r="O34" s="2" t="s">
        <v>17</v>
      </c>
      <c r="P34" s="12">
        <f t="shared" si="0"/>
        <v>0.12781331438047855</v>
      </c>
    </row>
    <row r="35" spans="1:16" ht="15.75" customHeight="1">
      <c r="A35" s="2" t="s">
        <v>83</v>
      </c>
      <c r="B35" s="2" t="s">
        <v>36</v>
      </c>
      <c r="C35" s="25">
        <v>45742</v>
      </c>
      <c r="D35" s="2" t="s">
        <v>19</v>
      </c>
      <c r="E35" s="2" t="s">
        <v>46</v>
      </c>
      <c r="F35" s="2">
        <v>1652</v>
      </c>
      <c r="G35" s="2">
        <v>89</v>
      </c>
      <c r="H35" s="2">
        <v>357</v>
      </c>
      <c r="I35" s="3">
        <v>29736</v>
      </c>
      <c r="J35" s="2">
        <v>28771</v>
      </c>
      <c r="K35" s="3">
        <v>215</v>
      </c>
      <c r="L35" s="2" t="s">
        <v>25</v>
      </c>
      <c r="M35" s="2" t="s">
        <v>416</v>
      </c>
      <c r="N35" s="32" t="s">
        <v>416</v>
      </c>
      <c r="O35" s="2" t="s">
        <v>26</v>
      </c>
      <c r="P35" s="12">
        <f t="shared" si="0"/>
        <v>7.055421038471886E-2</v>
      </c>
    </row>
    <row r="36" spans="1:16" ht="15.75" customHeight="1">
      <c r="A36" s="2" t="s">
        <v>84</v>
      </c>
      <c r="B36" s="2" t="s">
        <v>28</v>
      </c>
      <c r="C36" s="25">
        <v>45626</v>
      </c>
      <c r="D36" s="2" t="s">
        <v>58</v>
      </c>
      <c r="E36" s="2" t="s">
        <v>65</v>
      </c>
      <c r="F36" s="2">
        <v>3775</v>
      </c>
      <c r="G36" s="2">
        <v>16</v>
      </c>
      <c r="H36" s="2">
        <v>239</v>
      </c>
      <c r="I36" s="3">
        <v>33975</v>
      </c>
      <c r="J36" s="2">
        <v>33310</v>
      </c>
      <c r="K36" s="3">
        <v>271</v>
      </c>
      <c r="L36" s="2" t="s">
        <v>50</v>
      </c>
      <c r="M36" s="2" t="s">
        <v>416</v>
      </c>
      <c r="N36" s="32" t="s">
        <v>416</v>
      </c>
      <c r="O36" s="2" t="s">
        <v>21</v>
      </c>
      <c r="P36" s="12">
        <f t="shared" si="0"/>
        <v>0.11861662987490802</v>
      </c>
    </row>
    <row r="37" spans="1:16" ht="15.75" customHeight="1">
      <c r="A37" s="2" t="s">
        <v>85</v>
      </c>
      <c r="B37" s="2" t="s">
        <v>28</v>
      </c>
      <c r="C37" s="25">
        <v>45766</v>
      </c>
      <c r="D37" s="2" t="s">
        <v>29</v>
      </c>
      <c r="E37" s="2" t="s">
        <v>30</v>
      </c>
      <c r="F37" s="2">
        <v>4518</v>
      </c>
      <c r="G37" s="2">
        <v>285</v>
      </c>
      <c r="H37" s="2">
        <v>383</v>
      </c>
      <c r="I37" s="3">
        <v>67770</v>
      </c>
      <c r="J37" s="2">
        <v>67621</v>
      </c>
      <c r="K37" s="3">
        <v>31</v>
      </c>
      <c r="L37" s="2" t="s">
        <v>31</v>
      </c>
      <c r="M37" s="2" t="s">
        <v>416</v>
      </c>
      <c r="N37" s="32" t="s">
        <v>416</v>
      </c>
      <c r="O37" s="2" t="s">
        <v>21</v>
      </c>
      <c r="P37" s="12">
        <f t="shared" si="0"/>
        <v>7.6523535487678915E-2</v>
      </c>
    </row>
    <row r="38" spans="1:16" ht="15.75" customHeight="1">
      <c r="A38" s="2" t="s">
        <v>86</v>
      </c>
      <c r="B38" s="2" t="s">
        <v>36</v>
      </c>
      <c r="C38" s="25">
        <v>45663</v>
      </c>
      <c r="D38" s="2" t="s">
        <v>38</v>
      </c>
      <c r="E38" s="2" t="s">
        <v>39</v>
      </c>
      <c r="F38" s="2">
        <v>3024</v>
      </c>
      <c r="G38" s="2">
        <v>925</v>
      </c>
      <c r="H38" s="2">
        <v>350</v>
      </c>
      <c r="I38" s="3">
        <v>24192</v>
      </c>
      <c r="J38" s="2">
        <v>23518</v>
      </c>
      <c r="K38" s="3">
        <v>36</v>
      </c>
      <c r="L38" s="2" t="s">
        <v>31</v>
      </c>
      <c r="M38" s="2" t="s">
        <v>416</v>
      </c>
      <c r="N38" s="32" t="s">
        <v>416</v>
      </c>
      <c r="O38" s="2" t="s">
        <v>21</v>
      </c>
      <c r="P38" s="12">
        <f t="shared" si="0"/>
        <v>0.17770337301587302</v>
      </c>
    </row>
    <row r="39" spans="1:16" ht="15.75" customHeight="1">
      <c r="A39" s="2" t="s">
        <v>87</v>
      </c>
      <c r="B39" s="2" t="s">
        <v>23</v>
      </c>
      <c r="C39" s="25">
        <v>45705</v>
      </c>
      <c r="D39" s="2" t="s">
        <v>15</v>
      </c>
      <c r="E39" s="2" t="s">
        <v>24</v>
      </c>
      <c r="F39" s="2">
        <v>3138</v>
      </c>
      <c r="G39" s="2">
        <v>123</v>
      </c>
      <c r="H39" s="2">
        <v>291</v>
      </c>
      <c r="I39" s="3">
        <v>28242</v>
      </c>
      <c r="J39" s="2">
        <v>27550</v>
      </c>
      <c r="K39" s="3">
        <v>87</v>
      </c>
      <c r="L39" s="2" t="s">
        <v>25</v>
      </c>
      <c r="M39" s="2" t="s">
        <v>416</v>
      </c>
      <c r="N39" s="32" t="s">
        <v>416</v>
      </c>
      <c r="O39" s="2" t="s">
        <v>32</v>
      </c>
      <c r="P39" s="12">
        <f t="shared" si="0"/>
        <v>0.12577012959422137</v>
      </c>
    </row>
    <row r="40" spans="1:16" ht="15.75" customHeight="1">
      <c r="A40" s="2" t="s">
        <v>88</v>
      </c>
      <c r="B40" s="2" t="s">
        <v>36</v>
      </c>
      <c r="C40" s="25">
        <v>45621</v>
      </c>
      <c r="D40" s="2" t="s">
        <v>43</v>
      </c>
      <c r="E40" s="2" t="s">
        <v>48</v>
      </c>
      <c r="F40" s="2">
        <v>3564</v>
      </c>
      <c r="G40" s="2">
        <v>629</v>
      </c>
      <c r="H40" s="2">
        <v>177</v>
      </c>
      <c r="I40" s="3">
        <v>60588</v>
      </c>
      <c r="J40" s="2">
        <v>59627</v>
      </c>
      <c r="K40" s="3">
        <v>92</v>
      </c>
      <c r="L40" s="2" t="s">
        <v>25</v>
      </c>
      <c r="M40" s="2" t="s">
        <v>416</v>
      </c>
      <c r="N40" s="32" t="s">
        <v>416</v>
      </c>
      <c r="P40" s="12">
        <f t="shared" si="0"/>
        <v>7.2126493695121141E-2</v>
      </c>
    </row>
    <row r="41" spans="1:16" ht="15.75" customHeight="1">
      <c r="A41" s="2" t="s">
        <v>89</v>
      </c>
      <c r="B41" s="2" t="s">
        <v>14</v>
      </c>
      <c r="C41" s="25">
        <v>45723</v>
      </c>
      <c r="D41" s="2" t="s">
        <v>43</v>
      </c>
      <c r="E41" s="2" t="s">
        <v>90</v>
      </c>
      <c r="F41" s="2">
        <v>4750</v>
      </c>
      <c r="G41" s="2">
        <v>151</v>
      </c>
      <c r="H41" s="2">
        <v>415</v>
      </c>
      <c r="I41" s="3">
        <v>38000</v>
      </c>
      <c r="J41" s="2">
        <v>37792</v>
      </c>
      <c r="K41" s="3">
        <v>299</v>
      </c>
      <c r="L41" s="2" t="s">
        <v>31</v>
      </c>
      <c r="M41" s="2" t="s">
        <v>416</v>
      </c>
      <c r="N41" s="32" t="s">
        <v>416</v>
      </c>
      <c r="O41" s="2" t="s">
        <v>32</v>
      </c>
      <c r="P41" s="12">
        <f t="shared" si="0"/>
        <v>0.13989473684210527</v>
      </c>
    </row>
    <row r="42" spans="1:16" ht="15.75" customHeight="1">
      <c r="A42" s="2" t="s">
        <v>91</v>
      </c>
      <c r="B42" s="2" t="s">
        <v>28</v>
      </c>
      <c r="C42" s="25">
        <v>45724</v>
      </c>
      <c r="D42" s="2" t="s">
        <v>15</v>
      </c>
      <c r="E42" s="2" t="s">
        <v>63</v>
      </c>
      <c r="F42" s="2">
        <v>456</v>
      </c>
      <c r="G42" s="2">
        <v>629</v>
      </c>
      <c r="H42" s="2">
        <v>428</v>
      </c>
      <c r="I42" s="3">
        <v>8208</v>
      </c>
      <c r="J42" s="2">
        <v>7377</v>
      </c>
      <c r="K42" s="3">
        <v>205</v>
      </c>
      <c r="L42" s="2" t="s">
        <v>50</v>
      </c>
      <c r="M42" s="2" t="s">
        <v>416</v>
      </c>
      <c r="N42" s="32" t="s">
        <v>416</v>
      </c>
      <c r="O42" s="2" t="s">
        <v>32</v>
      </c>
      <c r="P42" s="12">
        <f t="shared" si="0"/>
        <v>0.18433235867446393</v>
      </c>
    </row>
    <row r="43" spans="1:16" ht="15.75" customHeight="1">
      <c r="A43" s="2" t="s">
        <v>92</v>
      </c>
      <c r="B43" s="2" t="s">
        <v>23</v>
      </c>
      <c r="C43" s="25">
        <v>45721</v>
      </c>
      <c r="D43" s="2" t="s">
        <v>15</v>
      </c>
      <c r="E43" s="2" t="s">
        <v>24</v>
      </c>
      <c r="F43" s="2">
        <v>1543</v>
      </c>
      <c r="G43" s="2">
        <v>820</v>
      </c>
      <c r="H43" s="2">
        <v>333</v>
      </c>
      <c r="I43" s="3">
        <v>12344</v>
      </c>
      <c r="J43" s="2">
        <v>11496</v>
      </c>
      <c r="K43" s="3">
        <v>241</v>
      </c>
      <c r="L43" s="2" t="s">
        <v>31</v>
      </c>
      <c r="M43" s="2" t="s">
        <v>416</v>
      </c>
      <c r="N43" s="32" t="s">
        <v>416</v>
      </c>
      <c r="P43" s="12">
        <f t="shared" si="0"/>
        <v>0.21840570317563188</v>
      </c>
    </row>
    <row r="44" spans="1:16" ht="15.75" customHeight="1">
      <c r="A44" s="2" t="s">
        <v>93</v>
      </c>
      <c r="B44" s="2" t="s">
        <v>28</v>
      </c>
      <c r="C44" s="25">
        <v>45640</v>
      </c>
      <c r="D44" s="2" t="s">
        <v>38</v>
      </c>
      <c r="E44" s="2" t="s">
        <v>67</v>
      </c>
      <c r="F44" s="2">
        <v>2174</v>
      </c>
      <c r="G44" s="2">
        <v>658</v>
      </c>
      <c r="H44" s="2">
        <v>15</v>
      </c>
      <c r="I44" s="3">
        <v>13044</v>
      </c>
      <c r="J44" s="2">
        <v>12206</v>
      </c>
      <c r="K44" s="3">
        <v>137</v>
      </c>
      <c r="L44" s="2" t="s">
        <v>25</v>
      </c>
      <c r="M44" s="2" t="s">
        <v>416</v>
      </c>
      <c r="N44" s="32" t="s">
        <v>416</v>
      </c>
      <c r="O44" s="2" t="s">
        <v>26</v>
      </c>
      <c r="P44" s="12">
        <f t="shared" si="0"/>
        <v>0.21826126954921804</v>
      </c>
    </row>
    <row r="45" spans="1:16" ht="15.75" customHeight="1">
      <c r="A45" s="2" t="s">
        <v>94</v>
      </c>
      <c r="B45" s="2" t="s">
        <v>14</v>
      </c>
      <c r="C45" s="25">
        <v>45718</v>
      </c>
      <c r="D45" s="2" t="s">
        <v>43</v>
      </c>
      <c r="E45" s="2" t="s">
        <v>90</v>
      </c>
      <c r="F45" s="2">
        <v>2358</v>
      </c>
      <c r="G45" s="2">
        <v>784</v>
      </c>
      <c r="H45" s="2">
        <v>344</v>
      </c>
      <c r="I45" s="3">
        <v>35370</v>
      </c>
      <c r="J45" s="2">
        <v>34475</v>
      </c>
      <c r="K45" s="3">
        <v>216</v>
      </c>
      <c r="L45" s="2" t="s">
        <v>25</v>
      </c>
      <c r="M45" s="2" t="s">
        <v>416</v>
      </c>
      <c r="N45" s="32" t="s">
        <v>416</v>
      </c>
      <c r="P45" s="12">
        <f t="shared" si="0"/>
        <v>9.8558100084817649E-2</v>
      </c>
    </row>
    <row r="46" spans="1:16" ht="15.75" customHeight="1">
      <c r="A46" s="2" t="s">
        <v>95</v>
      </c>
      <c r="B46" s="2" t="s">
        <v>36</v>
      </c>
      <c r="C46" s="25">
        <v>45597</v>
      </c>
      <c r="D46" s="2" t="s">
        <v>58</v>
      </c>
      <c r="E46" s="2" t="s">
        <v>59</v>
      </c>
      <c r="F46" s="2">
        <v>3371</v>
      </c>
      <c r="G46" s="2">
        <v>106</v>
      </c>
      <c r="H46" s="2">
        <v>327</v>
      </c>
      <c r="I46" s="3">
        <v>50565</v>
      </c>
      <c r="J46" s="2">
        <v>49816</v>
      </c>
      <c r="K46" s="3">
        <v>176</v>
      </c>
      <c r="L46" s="2" t="s">
        <v>50</v>
      </c>
      <c r="M46" s="2" t="s">
        <v>416</v>
      </c>
      <c r="N46" s="32" t="s">
        <v>416</v>
      </c>
      <c r="O46" s="2" t="s">
        <v>17</v>
      </c>
      <c r="P46" s="12">
        <f t="shared" si="0"/>
        <v>7.5229902106199939E-2</v>
      </c>
    </row>
    <row r="47" spans="1:16" ht="15.75" customHeight="1">
      <c r="A47" s="2" t="s">
        <v>96</v>
      </c>
      <c r="B47" s="2" t="s">
        <v>14</v>
      </c>
      <c r="C47" s="25">
        <v>45779</v>
      </c>
      <c r="D47" s="2" t="s">
        <v>58</v>
      </c>
      <c r="E47" s="2" t="s">
        <v>97</v>
      </c>
      <c r="F47" s="2">
        <v>1108</v>
      </c>
      <c r="G47" s="2">
        <v>177</v>
      </c>
      <c r="H47" s="2">
        <v>212</v>
      </c>
      <c r="I47" s="3">
        <v>8864</v>
      </c>
      <c r="J47" s="2">
        <v>8710</v>
      </c>
      <c r="K47" s="3">
        <v>97</v>
      </c>
      <c r="L47" s="2" t="s">
        <v>25</v>
      </c>
      <c r="M47" s="2" t="s">
        <v>416</v>
      </c>
      <c r="N47" s="32" t="s">
        <v>416</v>
      </c>
      <c r="O47" s="2" t="s">
        <v>32</v>
      </c>
      <c r="P47" s="12">
        <f t="shared" si="0"/>
        <v>0.16888537906137185</v>
      </c>
    </row>
    <row r="48" spans="1:16" ht="15.75" customHeight="1">
      <c r="A48" s="2" t="s">
        <v>98</v>
      </c>
      <c r="B48" s="2" t="s">
        <v>14</v>
      </c>
      <c r="C48" s="25">
        <v>45712</v>
      </c>
      <c r="D48" s="2" t="s">
        <v>38</v>
      </c>
      <c r="E48" s="2" t="s">
        <v>41</v>
      </c>
      <c r="F48" s="2">
        <v>2704</v>
      </c>
      <c r="G48" s="2">
        <v>752</v>
      </c>
      <c r="H48" s="2">
        <v>153</v>
      </c>
      <c r="I48" s="3">
        <v>21632</v>
      </c>
      <c r="J48" s="2">
        <v>20792</v>
      </c>
      <c r="K48" s="3">
        <v>127</v>
      </c>
      <c r="L48" s="2" t="s">
        <v>50</v>
      </c>
      <c r="M48" s="2" t="s">
        <v>416</v>
      </c>
      <c r="N48" s="32" t="s">
        <v>416</v>
      </c>
      <c r="P48" s="12">
        <f t="shared" si="0"/>
        <v>0.16683616863905326</v>
      </c>
    </row>
    <row r="49" spans="1:16" ht="15.75" customHeight="1">
      <c r="A49" s="2" t="s">
        <v>99</v>
      </c>
      <c r="B49" s="2" t="s">
        <v>14</v>
      </c>
      <c r="C49" s="25">
        <v>45727</v>
      </c>
      <c r="D49" s="2" t="s">
        <v>29</v>
      </c>
      <c r="E49" s="2" t="s">
        <v>100</v>
      </c>
      <c r="F49" s="2">
        <v>1950</v>
      </c>
      <c r="G49" s="2">
        <v>295</v>
      </c>
      <c r="H49" s="2">
        <v>478</v>
      </c>
      <c r="I49" s="3">
        <v>37050</v>
      </c>
      <c r="J49" s="2">
        <v>36272</v>
      </c>
      <c r="K49" s="3">
        <v>119</v>
      </c>
      <c r="L49" s="2" t="s">
        <v>25</v>
      </c>
      <c r="M49" s="2" t="s">
        <v>416</v>
      </c>
      <c r="N49" s="32" t="s">
        <v>416</v>
      </c>
      <c r="P49" s="12">
        <f t="shared" si="0"/>
        <v>7.349527665317139E-2</v>
      </c>
    </row>
    <row r="50" spans="1:16" ht="15.75" customHeight="1">
      <c r="A50" s="2" t="s">
        <v>101</v>
      </c>
      <c r="B50" s="2" t="s">
        <v>14</v>
      </c>
      <c r="C50" s="25">
        <v>45453</v>
      </c>
      <c r="D50" s="2" t="s">
        <v>29</v>
      </c>
      <c r="E50" s="2" t="s">
        <v>100</v>
      </c>
      <c r="F50" s="2">
        <v>2164</v>
      </c>
      <c r="G50" s="2">
        <v>549</v>
      </c>
      <c r="H50" s="2">
        <v>274</v>
      </c>
      <c r="I50" s="3">
        <v>28132</v>
      </c>
      <c r="J50" s="2">
        <v>27361</v>
      </c>
      <c r="K50" s="3">
        <v>177</v>
      </c>
      <c r="L50" s="2" t="s">
        <v>25</v>
      </c>
      <c r="M50" s="2" t="s">
        <v>416</v>
      </c>
      <c r="N50" s="32" t="s">
        <v>416</v>
      </c>
      <c r="O50" s="2" t="s">
        <v>32</v>
      </c>
      <c r="P50" s="12">
        <f t="shared" si="0"/>
        <v>0.10617801791554102</v>
      </c>
    </row>
    <row r="51" spans="1:16" ht="15.75" customHeight="1">
      <c r="A51" s="2" t="s">
        <v>102</v>
      </c>
      <c r="B51" s="2" t="s">
        <v>23</v>
      </c>
      <c r="C51" s="25">
        <v>45476</v>
      </c>
      <c r="D51" s="2" t="s">
        <v>29</v>
      </c>
      <c r="E51" s="2" t="s">
        <v>103</v>
      </c>
      <c r="F51" s="2">
        <v>2754</v>
      </c>
      <c r="G51" s="2">
        <v>130</v>
      </c>
      <c r="H51" s="2">
        <v>90</v>
      </c>
      <c r="I51" s="3">
        <v>22032</v>
      </c>
      <c r="J51" s="2">
        <v>21288</v>
      </c>
      <c r="K51" s="3">
        <v>112</v>
      </c>
      <c r="L51" s="2" t="s">
        <v>25</v>
      </c>
      <c r="M51" s="2" t="s">
        <v>416</v>
      </c>
      <c r="N51" s="32" t="s">
        <v>416</v>
      </c>
      <c r="O51" s="2" t="s">
        <v>26</v>
      </c>
      <c r="P51" s="12">
        <f t="shared" si="0"/>
        <v>0.13498547567175018</v>
      </c>
    </row>
    <row r="52" spans="1:16" ht="15.75" customHeight="1">
      <c r="A52" s="2" t="s">
        <v>104</v>
      </c>
      <c r="B52" s="2" t="s">
        <v>36</v>
      </c>
      <c r="C52" s="25">
        <v>45456</v>
      </c>
      <c r="D52" s="2" t="s">
        <v>38</v>
      </c>
      <c r="E52" s="2" t="s">
        <v>39</v>
      </c>
      <c r="F52" s="2">
        <v>2200</v>
      </c>
      <c r="G52" s="2">
        <v>504</v>
      </c>
      <c r="H52" s="2">
        <v>239</v>
      </c>
      <c r="I52" s="3">
        <v>37400</v>
      </c>
      <c r="J52" s="2">
        <v>36938</v>
      </c>
      <c r="K52" s="3">
        <v>225</v>
      </c>
      <c r="L52" s="2" t="s">
        <v>50</v>
      </c>
      <c r="M52" s="2" t="s">
        <v>416</v>
      </c>
      <c r="N52" s="32" t="s">
        <v>416</v>
      </c>
      <c r="O52" s="2" t="s">
        <v>21</v>
      </c>
      <c r="P52" s="12">
        <f t="shared" si="0"/>
        <v>7.8689839572192513E-2</v>
      </c>
    </row>
    <row r="53" spans="1:16" ht="15.75" customHeight="1">
      <c r="A53" s="2" t="s">
        <v>105</v>
      </c>
      <c r="B53" s="2" t="s">
        <v>36</v>
      </c>
      <c r="C53" s="25">
        <v>45660</v>
      </c>
      <c r="D53" s="2" t="s">
        <v>43</v>
      </c>
      <c r="E53" s="2" t="s">
        <v>48</v>
      </c>
      <c r="F53" s="2">
        <v>947</v>
      </c>
      <c r="G53" s="2">
        <v>338</v>
      </c>
      <c r="H53" s="2">
        <v>350</v>
      </c>
      <c r="I53" s="3">
        <v>10417</v>
      </c>
      <c r="J53" s="2">
        <v>9730</v>
      </c>
      <c r="K53" s="3">
        <v>34</v>
      </c>
      <c r="L53" s="2" t="s">
        <v>25</v>
      </c>
      <c r="M53" s="2" t="s">
        <v>416</v>
      </c>
      <c r="N53" s="32" t="s">
        <v>416</v>
      </c>
      <c r="O53" s="2" t="s">
        <v>32</v>
      </c>
      <c r="P53" s="12">
        <f t="shared" si="0"/>
        <v>0.1569549774407219</v>
      </c>
    </row>
    <row r="54" spans="1:16" ht="15.75" customHeight="1">
      <c r="A54" s="2" t="s">
        <v>106</v>
      </c>
      <c r="B54" s="2" t="s">
        <v>23</v>
      </c>
      <c r="C54" s="25">
        <v>45712</v>
      </c>
      <c r="D54" s="2" t="s">
        <v>38</v>
      </c>
      <c r="E54" s="2" t="s">
        <v>54</v>
      </c>
      <c r="F54" s="2">
        <v>804</v>
      </c>
      <c r="G54" s="2">
        <v>639</v>
      </c>
      <c r="H54" s="2">
        <v>43</v>
      </c>
      <c r="I54" s="3">
        <v>4020</v>
      </c>
      <c r="J54" s="2">
        <v>3144</v>
      </c>
      <c r="K54" s="3">
        <v>11</v>
      </c>
      <c r="L54" s="2" t="s">
        <v>31</v>
      </c>
      <c r="M54" s="2" t="s">
        <v>387</v>
      </c>
      <c r="N54" s="32" t="s">
        <v>416</v>
      </c>
      <c r="P54" s="12">
        <f t="shared" si="0"/>
        <v>0.36965174129353234</v>
      </c>
    </row>
    <row r="55" spans="1:16" ht="15.75" customHeight="1">
      <c r="A55" s="2" t="s">
        <v>107</v>
      </c>
      <c r="B55" s="2" t="s">
        <v>23</v>
      </c>
      <c r="C55" s="25">
        <v>45729</v>
      </c>
      <c r="D55" s="2" t="s">
        <v>38</v>
      </c>
      <c r="E55" s="2" t="s">
        <v>54</v>
      </c>
      <c r="F55" s="2">
        <v>1686</v>
      </c>
      <c r="G55" s="2">
        <v>904</v>
      </c>
      <c r="H55" s="2">
        <v>472</v>
      </c>
      <c r="I55" s="3">
        <v>18546</v>
      </c>
      <c r="J55" s="2">
        <v>18171</v>
      </c>
      <c r="K55" s="3">
        <v>52</v>
      </c>
      <c r="L55" s="2" t="s">
        <v>50</v>
      </c>
      <c r="M55" s="2" t="s">
        <v>416</v>
      </c>
      <c r="N55" s="32" t="s">
        <v>416</v>
      </c>
      <c r="O55" s="2" t="s">
        <v>21</v>
      </c>
      <c r="P55" s="12">
        <f t="shared" si="0"/>
        <v>0.16510298716704411</v>
      </c>
    </row>
    <row r="56" spans="1:16" ht="15.75" customHeight="1">
      <c r="A56" s="2" t="s">
        <v>108</v>
      </c>
      <c r="B56" s="2" t="s">
        <v>36</v>
      </c>
      <c r="C56" s="25">
        <v>45460</v>
      </c>
      <c r="D56" s="2" t="s">
        <v>43</v>
      </c>
      <c r="E56" s="2" t="s">
        <v>48</v>
      </c>
      <c r="F56" s="2">
        <v>1226</v>
      </c>
      <c r="G56" s="2">
        <v>119</v>
      </c>
      <c r="H56" s="2">
        <v>7</v>
      </c>
      <c r="I56" s="3">
        <v>14712</v>
      </c>
      <c r="J56" s="2">
        <v>14049</v>
      </c>
      <c r="K56" s="3">
        <v>123</v>
      </c>
      <c r="L56" s="2" t="s">
        <v>31</v>
      </c>
      <c r="M56" s="2" t="s">
        <v>416</v>
      </c>
      <c r="N56" s="32" t="s">
        <v>416</v>
      </c>
      <c r="O56" s="2" t="s">
        <v>32</v>
      </c>
      <c r="P56" s="12">
        <f t="shared" si="0"/>
        <v>9.1897770527460579E-2</v>
      </c>
    </row>
    <row r="57" spans="1:16" ht="15.75" customHeight="1">
      <c r="A57" s="2" t="s">
        <v>109</v>
      </c>
      <c r="B57" s="2" t="s">
        <v>36</v>
      </c>
      <c r="C57" s="25">
        <v>45644</v>
      </c>
      <c r="D57" s="2" t="s">
        <v>38</v>
      </c>
      <c r="E57" s="2" t="s">
        <v>39</v>
      </c>
      <c r="F57" s="2">
        <v>2946</v>
      </c>
      <c r="G57" s="2">
        <v>498</v>
      </c>
      <c r="H57" s="2">
        <v>367</v>
      </c>
      <c r="I57" s="3">
        <v>29460</v>
      </c>
      <c r="J57" s="2">
        <v>28527</v>
      </c>
      <c r="K57" s="3">
        <v>60</v>
      </c>
      <c r="L57" s="2" t="s">
        <v>50</v>
      </c>
      <c r="M57" s="2" t="s">
        <v>416</v>
      </c>
      <c r="N57" s="32" t="s">
        <v>416</v>
      </c>
      <c r="O57" s="2" t="s">
        <v>26</v>
      </c>
      <c r="P57" s="12">
        <f t="shared" si="0"/>
        <v>0.12936184657162253</v>
      </c>
    </row>
    <row r="58" spans="1:16" ht="15.75" customHeight="1">
      <c r="A58" s="2" t="s">
        <v>110</v>
      </c>
      <c r="B58" s="2" t="s">
        <v>14</v>
      </c>
      <c r="C58" s="25">
        <v>45586</v>
      </c>
      <c r="D58" s="2" t="s">
        <v>58</v>
      </c>
      <c r="E58" s="2" t="s">
        <v>97</v>
      </c>
      <c r="F58" s="2">
        <v>2825</v>
      </c>
      <c r="G58" s="2">
        <v>535</v>
      </c>
      <c r="H58" s="2">
        <v>295</v>
      </c>
      <c r="I58" s="3">
        <v>45200</v>
      </c>
      <c r="J58" s="2">
        <v>44739</v>
      </c>
      <c r="K58" s="3">
        <v>169</v>
      </c>
      <c r="L58" s="2" t="s">
        <v>25</v>
      </c>
      <c r="M58" s="2" t="s">
        <v>416</v>
      </c>
      <c r="N58" s="32" t="s">
        <v>416</v>
      </c>
      <c r="O58" s="2" t="s">
        <v>17</v>
      </c>
      <c r="P58" s="12">
        <f t="shared" si="0"/>
        <v>8.0862831858407078E-2</v>
      </c>
    </row>
    <row r="59" spans="1:16" ht="15.75" customHeight="1">
      <c r="A59" s="2" t="s">
        <v>111</v>
      </c>
      <c r="B59" s="2" t="s">
        <v>28</v>
      </c>
      <c r="C59" s="25">
        <v>45762</v>
      </c>
      <c r="D59" s="2" t="s">
        <v>15</v>
      </c>
      <c r="E59" s="2" t="s">
        <v>63</v>
      </c>
      <c r="F59" s="2">
        <v>103</v>
      </c>
      <c r="G59" s="2">
        <v>770</v>
      </c>
      <c r="H59" s="2">
        <v>19</v>
      </c>
      <c r="I59" s="3">
        <v>1030</v>
      </c>
      <c r="J59" s="2">
        <v>410</v>
      </c>
      <c r="K59" s="3">
        <v>262</v>
      </c>
      <c r="L59" s="2" t="s">
        <v>25</v>
      </c>
      <c r="M59" s="2" t="s">
        <v>416</v>
      </c>
      <c r="N59" s="32" t="s">
        <v>416</v>
      </c>
      <c r="O59" s="2" t="s">
        <v>32</v>
      </c>
      <c r="P59" s="12">
        <f t="shared" si="0"/>
        <v>0.86601941747572819</v>
      </c>
    </row>
    <row r="60" spans="1:16" ht="15.75" customHeight="1">
      <c r="A60" s="2" t="s">
        <v>112</v>
      </c>
      <c r="B60" s="2" t="s">
        <v>28</v>
      </c>
      <c r="C60" s="25">
        <v>45465</v>
      </c>
      <c r="D60" s="2" t="s">
        <v>19</v>
      </c>
      <c r="E60" s="2" t="s">
        <v>80</v>
      </c>
      <c r="F60" s="2">
        <v>2180</v>
      </c>
      <c r="G60" s="2">
        <v>263</v>
      </c>
      <c r="H60" s="2">
        <v>387</v>
      </c>
      <c r="I60" s="3">
        <v>30520</v>
      </c>
      <c r="J60" s="2">
        <v>30059</v>
      </c>
      <c r="K60" s="3">
        <v>174</v>
      </c>
      <c r="L60" s="2" t="s">
        <v>31</v>
      </c>
      <c r="M60" s="2" t="s">
        <v>416</v>
      </c>
      <c r="N60" s="32" t="s">
        <v>416</v>
      </c>
      <c r="P60" s="12">
        <f t="shared" si="0"/>
        <v>9.2726081258191345E-2</v>
      </c>
    </row>
    <row r="61" spans="1:16" ht="15.75" customHeight="1">
      <c r="A61" s="2" t="s">
        <v>113</v>
      </c>
      <c r="B61" s="2" t="s">
        <v>28</v>
      </c>
      <c r="C61" s="25">
        <v>45685</v>
      </c>
      <c r="D61" s="2" t="s">
        <v>58</v>
      </c>
      <c r="E61" s="2" t="s">
        <v>65</v>
      </c>
      <c r="F61" s="2">
        <v>904</v>
      </c>
      <c r="G61" s="2">
        <v>973</v>
      </c>
      <c r="H61" s="2">
        <v>63</v>
      </c>
      <c r="I61" s="3">
        <v>11752</v>
      </c>
      <c r="J61" s="2">
        <v>11580</v>
      </c>
      <c r="K61" s="3">
        <v>84</v>
      </c>
      <c r="L61" s="2" t="s">
        <v>31</v>
      </c>
      <c r="M61" s="2" t="s">
        <v>25</v>
      </c>
      <c r="N61" s="2" t="s">
        <v>386</v>
      </c>
      <c r="O61" s="2" t="s">
        <v>26</v>
      </c>
      <c r="P61" s="12">
        <f t="shared" si="0"/>
        <v>0.1650782845473111</v>
      </c>
    </row>
    <row r="62" spans="1:16" ht="15.75" customHeight="1">
      <c r="A62" s="2" t="s">
        <v>114</v>
      </c>
      <c r="B62" s="2" t="s">
        <v>14</v>
      </c>
      <c r="C62" s="25">
        <v>45540</v>
      </c>
      <c r="D62" s="2" t="s">
        <v>58</v>
      </c>
      <c r="E62" s="2" t="s">
        <v>97</v>
      </c>
      <c r="F62" s="2">
        <v>4886</v>
      </c>
      <c r="G62" s="2">
        <v>983</v>
      </c>
      <c r="H62" s="2">
        <v>409</v>
      </c>
      <c r="I62" s="3">
        <v>43974</v>
      </c>
      <c r="J62" s="2">
        <v>43239</v>
      </c>
      <c r="K62" s="3">
        <v>65</v>
      </c>
      <c r="L62" s="2" t="s">
        <v>25</v>
      </c>
      <c r="M62" s="2" t="s">
        <v>416</v>
      </c>
      <c r="N62" s="2" t="s">
        <v>416</v>
      </c>
      <c r="O62" s="2" t="s">
        <v>17</v>
      </c>
      <c r="P62" s="12">
        <f t="shared" si="0"/>
        <v>0.14276618001546368</v>
      </c>
    </row>
    <row r="63" spans="1:16" ht="15.75" customHeight="1">
      <c r="A63" s="2" t="s">
        <v>115</v>
      </c>
      <c r="B63" s="2" t="s">
        <v>14</v>
      </c>
      <c r="C63" s="25">
        <v>45618</v>
      </c>
      <c r="D63" s="2" t="s">
        <v>38</v>
      </c>
      <c r="E63" s="2" t="s">
        <v>41</v>
      </c>
      <c r="F63" s="2">
        <v>53</v>
      </c>
      <c r="G63" s="2">
        <v>81</v>
      </c>
      <c r="H63" s="2">
        <v>379</v>
      </c>
      <c r="I63" s="3">
        <v>954</v>
      </c>
      <c r="J63" s="2">
        <v>7</v>
      </c>
      <c r="K63" s="3">
        <v>148</v>
      </c>
      <c r="L63" s="2" t="s">
        <v>25</v>
      </c>
      <c r="M63" s="2" t="s">
        <v>416</v>
      </c>
      <c r="N63" s="2" t="s">
        <v>416</v>
      </c>
      <c r="O63" s="2" t="s">
        <v>26</v>
      </c>
      <c r="P63" s="12">
        <f t="shared" si="0"/>
        <v>0.53773584905660377</v>
      </c>
    </row>
    <row r="64" spans="1:16" ht="15.75" customHeight="1">
      <c r="A64" s="2" t="s">
        <v>116</v>
      </c>
      <c r="B64" s="2" t="s">
        <v>14</v>
      </c>
      <c r="C64" s="25">
        <v>45504</v>
      </c>
      <c r="D64" s="2" t="s">
        <v>38</v>
      </c>
      <c r="E64" s="2" t="s">
        <v>41</v>
      </c>
      <c r="F64" s="2">
        <v>4507</v>
      </c>
      <c r="G64" s="2">
        <v>217</v>
      </c>
      <c r="H64" s="2">
        <v>13</v>
      </c>
      <c r="I64" s="3">
        <v>90140</v>
      </c>
      <c r="J64" s="2">
        <v>89591</v>
      </c>
      <c r="K64" s="3">
        <v>125</v>
      </c>
      <c r="L64" s="2" t="s">
        <v>50</v>
      </c>
      <c r="M64" s="2" t="s">
        <v>416</v>
      </c>
      <c r="N64" s="2" t="s">
        <v>416</v>
      </c>
      <c r="O64" s="2" t="s">
        <v>26</v>
      </c>
      <c r="P64" s="12">
        <f t="shared" si="0"/>
        <v>5.2551586421122697E-2</v>
      </c>
    </row>
    <row r="65" spans="1:16" ht="15.75" customHeight="1">
      <c r="A65" s="2" t="s">
        <v>117</v>
      </c>
      <c r="B65" s="2" t="s">
        <v>36</v>
      </c>
      <c r="C65" s="25">
        <v>45521</v>
      </c>
      <c r="D65" s="2" t="s">
        <v>43</v>
      </c>
      <c r="E65" s="2" t="s">
        <v>48</v>
      </c>
      <c r="F65" s="2">
        <v>2878</v>
      </c>
      <c r="G65" s="2">
        <v>248</v>
      </c>
      <c r="H65" s="2">
        <v>416</v>
      </c>
      <c r="I65" s="3">
        <v>43170</v>
      </c>
      <c r="J65" s="2">
        <v>42667</v>
      </c>
      <c r="K65" s="3">
        <v>75</v>
      </c>
      <c r="L65" s="2" t="s">
        <v>50</v>
      </c>
      <c r="M65" s="2" t="s">
        <v>416</v>
      </c>
      <c r="N65" s="2" t="s">
        <v>416</v>
      </c>
      <c r="O65" s="2" t="s">
        <v>26</v>
      </c>
      <c r="P65" s="12">
        <f t="shared" si="0"/>
        <v>8.2047718322909427E-2</v>
      </c>
    </row>
    <row r="66" spans="1:16" ht="15.75" customHeight="1">
      <c r="A66" s="2" t="s">
        <v>118</v>
      </c>
      <c r="B66" s="2" t="s">
        <v>28</v>
      </c>
      <c r="C66" s="25">
        <v>45744</v>
      </c>
      <c r="D66" s="2" t="s">
        <v>29</v>
      </c>
      <c r="E66" s="2" t="s">
        <v>30</v>
      </c>
      <c r="F66" s="2">
        <v>1881</v>
      </c>
      <c r="G66" s="2">
        <v>501</v>
      </c>
      <c r="H66" s="2">
        <v>99</v>
      </c>
      <c r="I66" s="3">
        <v>20691</v>
      </c>
      <c r="J66" s="2">
        <v>19987</v>
      </c>
      <c r="K66" s="3">
        <v>289</v>
      </c>
      <c r="L66" s="2" t="s">
        <v>31</v>
      </c>
      <c r="M66" s="2" t="s">
        <v>416</v>
      </c>
      <c r="N66" s="2" t="s">
        <v>416</v>
      </c>
      <c r="P66" s="12">
        <f t="shared" si="0"/>
        <v>0.11990720603160794</v>
      </c>
    </row>
    <row r="67" spans="1:16" ht="15.75" customHeight="1">
      <c r="A67" s="2" t="s">
        <v>119</v>
      </c>
      <c r="B67" s="2" t="s">
        <v>14</v>
      </c>
      <c r="C67" s="25">
        <v>45499</v>
      </c>
      <c r="D67" s="2" t="s">
        <v>38</v>
      </c>
      <c r="E67" s="2" t="s">
        <v>41</v>
      </c>
      <c r="F67" s="2">
        <v>432</v>
      </c>
      <c r="G67" s="2">
        <v>171</v>
      </c>
      <c r="H67" s="2">
        <v>280</v>
      </c>
      <c r="I67" s="3">
        <v>3024</v>
      </c>
      <c r="J67" s="2">
        <v>2285</v>
      </c>
      <c r="K67" s="3">
        <v>184</v>
      </c>
      <c r="L67" s="2" t="s">
        <v>31</v>
      </c>
      <c r="M67" s="2" t="s">
        <v>416</v>
      </c>
      <c r="N67" s="2" t="s">
        <v>416</v>
      </c>
      <c r="O67" s="2" t="s">
        <v>17</v>
      </c>
      <c r="P67" s="12">
        <f t="shared" ref="P67:P130" si="1">(F67+G67+H67)/I67</f>
        <v>0.29199735449735448</v>
      </c>
    </row>
    <row r="68" spans="1:16" ht="15.75" customHeight="1">
      <c r="A68" s="2" t="s">
        <v>120</v>
      </c>
      <c r="B68" s="2" t="s">
        <v>36</v>
      </c>
      <c r="C68" s="25">
        <v>45745</v>
      </c>
      <c r="D68" s="2" t="s">
        <v>38</v>
      </c>
      <c r="E68" s="2" t="s">
        <v>39</v>
      </c>
      <c r="F68" s="2">
        <v>4712</v>
      </c>
      <c r="G68" s="2">
        <v>568</v>
      </c>
      <c r="H68" s="2">
        <v>127</v>
      </c>
      <c r="I68" s="3">
        <v>84816</v>
      </c>
      <c r="J68" s="2">
        <v>84691</v>
      </c>
      <c r="K68" s="3">
        <v>100</v>
      </c>
      <c r="L68" s="2" t="s">
        <v>31</v>
      </c>
      <c r="M68" s="2" t="s">
        <v>416</v>
      </c>
      <c r="N68" s="2" t="s">
        <v>416</v>
      </c>
      <c r="O68" s="2" t="s">
        <v>26</v>
      </c>
      <c r="P68" s="12">
        <f t="shared" si="1"/>
        <v>6.3749764195434822E-2</v>
      </c>
    </row>
    <row r="69" spans="1:16" ht="15.75" customHeight="1">
      <c r="A69" s="2" t="s">
        <v>121</v>
      </c>
      <c r="B69" s="2" t="s">
        <v>28</v>
      </c>
      <c r="C69" s="25">
        <v>45634</v>
      </c>
      <c r="D69" s="2" t="s">
        <v>29</v>
      </c>
      <c r="E69" s="2" t="s">
        <v>30</v>
      </c>
      <c r="F69" s="2">
        <v>2610</v>
      </c>
      <c r="G69" s="2">
        <v>126</v>
      </c>
      <c r="H69" s="2">
        <v>288</v>
      </c>
      <c r="I69" s="3">
        <v>15660</v>
      </c>
      <c r="J69" s="2">
        <v>15145</v>
      </c>
      <c r="K69" s="3">
        <v>73</v>
      </c>
      <c r="L69" s="2" t="s">
        <v>31</v>
      </c>
      <c r="M69" s="2" t="s">
        <v>416</v>
      </c>
      <c r="N69" s="2" t="s">
        <v>416</v>
      </c>
      <c r="P69" s="12">
        <f t="shared" si="1"/>
        <v>0.19310344827586207</v>
      </c>
    </row>
    <row r="70" spans="1:16" ht="15.75" customHeight="1">
      <c r="A70" s="2" t="s">
        <v>122</v>
      </c>
      <c r="B70" s="2" t="s">
        <v>14</v>
      </c>
      <c r="C70" s="25">
        <v>45724</v>
      </c>
      <c r="D70" s="2" t="s">
        <v>19</v>
      </c>
      <c r="E70" s="2" t="s">
        <v>20</v>
      </c>
      <c r="F70" s="2">
        <v>1292</v>
      </c>
      <c r="G70" s="2">
        <v>626</v>
      </c>
      <c r="H70" s="2">
        <v>496</v>
      </c>
      <c r="I70" s="3">
        <v>25840</v>
      </c>
      <c r="J70" s="2">
        <v>24916</v>
      </c>
      <c r="K70" s="3">
        <v>149</v>
      </c>
      <c r="L70" s="2" t="s">
        <v>50</v>
      </c>
      <c r="M70" s="2" t="s">
        <v>416</v>
      </c>
      <c r="N70" s="2" t="s">
        <v>416</v>
      </c>
      <c r="O70" s="2" t="s">
        <v>26</v>
      </c>
      <c r="P70" s="12">
        <f t="shared" si="1"/>
        <v>9.3421052631578946E-2</v>
      </c>
    </row>
    <row r="71" spans="1:16" ht="15.75" customHeight="1">
      <c r="A71" s="2" t="s">
        <v>123</v>
      </c>
      <c r="B71" s="2" t="s">
        <v>36</v>
      </c>
      <c r="C71" s="25">
        <v>45749</v>
      </c>
      <c r="D71" s="2" t="s">
        <v>58</v>
      </c>
      <c r="E71" s="2" t="s">
        <v>59</v>
      </c>
      <c r="F71" s="2">
        <v>199</v>
      </c>
      <c r="G71" s="2">
        <v>772</v>
      </c>
      <c r="H71" s="2">
        <v>400</v>
      </c>
      <c r="I71" s="3">
        <v>3582</v>
      </c>
      <c r="J71" s="2">
        <v>2988</v>
      </c>
      <c r="K71" s="3">
        <v>43</v>
      </c>
      <c r="L71" s="2" t="s">
        <v>25</v>
      </c>
      <c r="M71" s="2" t="s">
        <v>416</v>
      </c>
      <c r="N71" s="2" t="s">
        <v>416</v>
      </c>
      <c r="P71" s="12">
        <f t="shared" si="1"/>
        <v>0.38274706867671693</v>
      </c>
    </row>
    <row r="72" spans="1:16" ht="15.75" customHeight="1">
      <c r="A72" s="2" t="s">
        <v>124</v>
      </c>
      <c r="B72" s="2" t="s">
        <v>23</v>
      </c>
      <c r="C72" s="25">
        <v>45537</v>
      </c>
      <c r="D72" s="2" t="s">
        <v>38</v>
      </c>
      <c r="E72" s="2" t="s">
        <v>54</v>
      </c>
      <c r="F72" s="2">
        <v>2551</v>
      </c>
      <c r="G72" s="2">
        <v>915</v>
      </c>
      <c r="H72" s="2">
        <v>205</v>
      </c>
      <c r="I72" s="3">
        <v>30612</v>
      </c>
      <c r="J72" s="2">
        <v>30360</v>
      </c>
      <c r="K72" s="3">
        <v>227</v>
      </c>
      <c r="L72" s="2" t="s">
        <v>25</v>
      </c>
      <c r="M72" s="2" t="s">
        <v>416</v>
      </c>
      <c r="N72" s="2" t="s">
        <v>416</v>
      </c>
      <c r="O72" s="2" t="s">
        <v>21</v>
      </c>
      <c r="P72" s="12">
        <f t="shared" si="1"/>
        <v>0.1199202926956749</v>
      </c>
    </row>
    <row r="73" spans="1:16" ht="15.75" customHeight="1">
      <c r="A73" s="2" t="s">
        <v>125</v>
      </c>
      <c r="B73" s="2" t="s">
        <v>23</v>
      </c>
      <c r="C73" s="25">
        <v>45719</v>
      </c>
      <c r="D73" s="2" t="s">
        <v>15</v>
      </c>
      <c r="E73" s="2" t="s">
        <v>24</v>
      </c>
      <c r="F73" s="2">
        <v>296</v>
      </c>
      <c r="G73" s="2">
        <v>60</v>
      </c>
      <c r="H73" s="2">
        <v>141</v>
      </c>
      <c r="I73" s="3">
        <v>5624</v>
      </c>
      <c r="J73" s="2">
        <v>5239</v>
      </c>
      <c r="K73" s="3">
        <v>88</v>
      </c>
      <c r="L73" s="2" t="s">
        <v>31</v>
      </c>
      <c r="M73" s="2" t="s">
        <v>416</v>
      </c>
      <c r="N73" s="2" t="s">
        <v>416</v>
      </c>
      <c r="O73" s="2" t="s">
        <v>21</v>
      </c>
      <c r="P73" s="12">
        <f t="shared" si="1"/>
        <v>8.837126600284495E-2</v>
      </c>
    </row>
    <row r="74" spans="1:16" ht="15.75" customHeight="1">
      <c r="A74" s="2" t="s">
        <v>126</v>
      </c>
      <c r="B74" s="2" t="s">
        <v>36</v>
      </c>
      <c r="C74" s="25">
        <v>45583</v>
      </c>
      <c r="D74" s="2" t="s">
        <v>29</v>
      </c>
      <c r="E74" s="2" t="s">
        <v>56</v>
      </c>
      <c r="F74" s="2">
        <v>4126</v>
      </c>
      <c r="G74" s="2">
        <v>426</v>
      </c>
      <c r="H74" s="2">
        <v>486</v>
      </c>
      <c r="I74" s="3">
        <v>78394</v>
      </c>
      <c r="J74" s="2">
        <v>77798</v>
      </c>
      <c r="K74" s="3">
        <v>88</v>
      </c>
      <c r="L74" s="2" t="s">
        <v>50</v>
      </c>
      <c r="M74" s="2" t="s">
        <v>416</v>
      </c>
      <c r="N74" s="2" t="s">
        <v>416</v>
      </c>
      <c r="O74" s="2" t="s">
        <v>32</v>
      </c>
      <c r="P74" s="12">
        <f t="shared" si="1"/>
        <v>6.4265122330790625E-2</v>
      </c>
    </row>
    <row r="75" spans="1:16" ht="15.75" customHeight="1">
      <c r="A75" s="2" t="s">
        <v>127</v>
      </c>
      <c r="B75" s="2" t="s">
        <v>23</v>
      </c>
      <c r="C75" s="25">
        <v>45593</v>
      </c>
      <c r="D75" s="2" t="s">
        <v>15</v>
      </c>
      <c r="E75" s="2" t="s">
        <v>24</v>
      </c>
      <c r="F75" s="2">
        <v>1855</v>
      </c>
      <c r="G75" s="2">
        <v>200</v>
      </c>
      <c r="H75" s="2">
        <v>174</v>
      </c>
      <c r="I75" s="3">
        <v>16695</v>
      </c>
      <c r="J75" s="2">
        <v>16330</v>
      </c>
      <c r="K75" s="3">
        <v>123</v>
      </c>
      <c r="L75" s="2" t="s">
        <v>25</v>
      </c>
      <c r="M75" s="2" t="s">
        <v>416</v>
      </c>
      <c r="N75" s="2" t="s">
        <v>416</v>
      </c>
      <c r="O75" s="2" t="s">
        <v>26</v>
      </c>
      <c r="P75" s="12">
        <f t="shared" si="1"/>
        <v>0.13351302785265048</v>
      </c>
    </row>
    <row r="76" spans="1:16" ht="15.75" customHeight="1">
      <c r="A76" s="2" t="s">
        <v>128</v>
      </c>
      <c r="B76" s="2" t="s">
        <v>28</v>
      </c>
      <c r="C76" s="25">
        <v>45505</v>
      </c>
      <c r="D76" s="2" t="s">
        <v>15</v>
      </c>
      <c r="E76" s="2" t="s">
        <v>63</v>
      </c>
      <c r="F76" s="2">
        <v>1674</v>
      </c>
      <c r="G76" s="2">
        <v>929</v>
      </c>
      <c r="H76" s="2">
        <v>37</v>
      </c>
      <c r="I76" s="3">
        <v>21762</v>
      </c>
      <c r="J76" s="2">
        <v>20998</v>
      </c>
      <c r="K76" s="3">
        <v>255</v>
      </c>
      <c r="L76" s="2" t="s">
        <v>25</v>
      </c>
      <c r="M76" s="2" t="s">
        <v>416</v>
      </c>
      <c r="N76" s="2" t="s">
        <v>416</v>
      </c>
      <c r="O76" s="2" t="s">
        <v>32</v>
      </c>
      <c r="P76" s="12">
        <f t="shared" si="1"/>
        <v>0.12131237937689551</v>
      </c>
    </row>
    <row r="77" spans="1:16" ht="15.75" customHeight="1">
      <c r="A77" s="2" t="s">
        <v>129</v>
      </c>
      <c r="B77" s="2" t="s">
        <v>14</v>
      </c>
      <c r="C77" s="25">
        <v>45603</v>
      </c>
      <c r="D77" s="2" t="s">
        <v>29</v>
      </c>
      <c r="E77" s="2" t="s">
        <v>100</v>
      </c>
      <c r="F77" s="2">
        <v>1121</v>
      </c>
      <c r="G77" s="2">
        <v>135</v>
      </c>
      <c r="H77" s="2">
        <v>18</v>
      </c>
      <c r="I77" s="3">
        <v>15694</v>
      </c>
      <c r="J77" s="2">
        <v>14957</v>
      </c>
      <c r="K77" s="3">
        <v>99</v>
      </c>
      <c r="L77" s="2" t="s">
        <v>25</v>
      </c>
      <c r="M77" s="2" t="s">
        <v>416</v>
      </c>
      <c r="N77" s="2" t="s">
        <v>416</v>
      </c>
      <c r="O77" s="2" t="s">
        <v>32</v>
      </c>
      <c r="P77" s="12">
        <f t="shared" si="1"/>
        <v>8.1177520071364848E-2</v>
      </c>
    </row>
    <row r="78" spans="1:16" ht="15.75" customHeight="1">
      <c r="A78" s="2" t="s">
        <v>130</v>
      </c>
      <c r="B78" s="2" t="s">
        <v>36</v>
      </c>
      <c r="C78" s="25">
        <v>45720</v>
      </c>
      <c r="D78" s="2" t="s">
        <v>29</v>
      </c>
      <c r="E78" s="2" t="s">
        <v>56</v>
      </c>
      <c r="F78" s="2">
        <v>1249</v>
      </c>
      <c r="G78" s="2">
        <v>116</v>
      </c>
      <c r="H78" s="2">
        <v>420</v>
      </c>
      <c r="I78" s="3">
        <v>8743</v>
      </c>
      <c r="J78" s="2">
        <v>8538</v>
      </c>
      <c r="K78" s="3">
        <v>63</v>
      </c>
      <c r="L78" s="2" t="s">
        <v>25</v>
      </c>
      <c r="M78" s="2" t="s">
        <v>416</v>
      </c>
      <c r="N78" s="2" t="s">
        <v>416</v>
      </c>
      <c r="P78" s="12">
        <f t="shared" si="1"/>
        <v>0.20416333066453163</v>
      </c>
    </row>
    <row r="79" spans="1:16" ht="15.75" customHeight="1">
      <c r="A79" s="2" t="s">
        <v>131</v>
      </c>
      <c r="B79" s="2" t="s">
        <v>14</v>
      </c>
      <c r="C79" s="25">
        <v>45460</v>
      </c>
      <c r="D79" s="2" t="s">
        <v>43</v>
      </c>
      <c r="E79" s="2" t="s">
        <v>90</v>
      </c>
      <c r="F79" s="2">
        <v>954</v>
      </c>
      <c r="G79" s="2">
        <v>324</v>
      </c>
      <c r="H79" s="2">
        <v>288</v>
      </c>
      <c r="I79" s="3">
        <v>19080</v>
      </c>
      <c r="J79" s="2">
        <v>18859</v>
      </c>
      <c r="K79" s="3">
        <v>21</v>
      </c>
      <c r="L79" s="2" t="s">
        <v>50</v>
      </c>
      <c r="M79" s="2" t="s">
        <v>416</v>
      </c>
      <c r="N79" s="2" t="s">
        <v>416</v>
      </c>
      <c r="O79" s="2" t="s">
        <v>32</v>
      </c>
      <c r="P79" s="12">
        <f t="shared" si="1"/>
        <v>8.2075471698113203E-2</v>
      </c>
    </row>
    <row r="80" spans="1:16" ht="15.75" customHeight="1">
      <c r="A80" s="2" t="s">
        <v>132</v>
      </c>
      <c r="B80" s="2" t="s">
        <v>28</v>
      </c>
      <c r="C80" s="25">
        <v>45574</v>
      </c>
      <c r="D80" s="2" t="s">
        <v>38</v>
      </c>
      <c r="E80" s="2" t="s">
        <v>67</v>
      </c>
      <c r="F80" s="2">
        <v>3068</v>
      </c>
      <c r="G80" s="2">
        <v>137</v>
      </c>
      <c r="H80" s="2">
        <v>329</v>
      </c>
      <c r="I80" s="3">
        <v>39884</v>
      </c>
      <c r="J80" s="2">
        <v>39404</v>
      </c>
      <c r="K80" s="3">
        <v>266</v>
      </c>
      <c r="L80" s="2" t="s">
        <v>31</v>
      </c>
      <c r="M80" s="2" t="s">
        <v>416</v>
      </c>
      <c r="N80" s="2" t="s">
        <v>416</v>
      </c>
      <c r="O80" s="2" t="s">
        <v>21</v>
      </c>
      <c r="P80" s="12">
        <f t="shared" si="1"/>
        <v>8.860696018453515E-2</v>
      </c>
    </row>
    <row r="81" spans="1:16" ht="15.75" customHeight="1">
      <c r="A81" s="2" t="s">
        <v>133</v>
      </c>
      <c r="B81" s="2" t="s">
        <v>28</v>
      </c>
      <c r="C81" s="25">
        <v>45456</v>
      </c>
      <c r="D81" s="2" t="s">
        <v>29</v>
      </c>
      <c r="E81" s="2" t="s">
        <v>30</v>
      </c>
      <c r="F81" s="2">
        <v>2103</v>
      </c>
      <c r="G81" s="2">
        <v>892</v>
      </c>
      <c r="H81" s="2">
        <v>103</v>
      </c>
      <c r="I81" s="3">
        <v>39957</v>
      </c>
      <c r="J81" s="2">
        <v>39466</v>
      </c>
      <c r="K81" s="3">
        <v>28</v>
      </c>
      <c r="L81" s="2" t="s">
        <v>50</v>
      </c>
      <c r="M81" s="2" t="s">
        <v>416</v>
      </c>
      <c r="N81" s="2" t="s">
        <v>416</v>
      </c>
      <c r="P81" s="12">
        <f t="shared" si="1"/>
        <v>7.7533348349475686E-2</v>
      </c>
    </row>
    <row r="82" spans="1:16" ht="15.75" customHeight="1">
      <c r="A82" s="2" t="s">
        <v>134</v>
      </c>
      <c r="B82" s="2" t="s">
        <v>28</v>
      </c>
      <c r="C82" s="25">
        <v>45584</v>
      </c>
      <c r="D82" s="2" t="s">
        <v>29</v>
      </c>
      <c r="E82" s="2" t="s">
        <v>30</v>
      </c>
      <c r="F82" s="2">
        <v>1816</v>
      </c>
      <c r="G82" s="2">
        <v>29</v>
      </c>
      <c r="H82" s="2">
        <v>41</v>
      </c>
      <c r="I82" s="3">
        <v>19976</v>
      </c>
      <c r="J82" s="2">
        <v>19262</v>
      </c>
      <c r="K82" s="3">
        <v>283</v>
      </c>
      <c r="L82" s="2" t="s">
        <v>25</v>
      </c>
      <c r="M82" s="2" t="s">
        <v>416</v>
      </c>
      <c r="N82" s="2" t="s">
        <v>416</v>
      </c>
      <c r="O82" s="2" t="s">
        <v>26</v>
      </c>
      <c r="P82" s="12">
        <f t="shared" si="1"/>
        <v>9.4413295955146179E-2</v>
      </c>
    </row>
    <row r="83" spans="1:16" ht="15.75" customHeight="1">
      <c r="A83" s="2" t="s">
        <v>135</v>
      </c>
      <c r="B83" s="2" t="s">
        <v>28</v>
      </c>
      <c r="C83" s="25">
        <v>45497</v>
      </c>
      <c r="D83" s="2" t="s">
        <v>43</v>
      </c>
      <c r="E83" s="2" t="s">
        <v>136</v>
      </c>
      <c r="F83" s="2">
        <v>725</v>
      </c>
      <c r="G83" s="2">
        <v>88</v>
      </c>
      <c r="H83" s="2">
        <v>428</v>
      </c>
      <c r="I83" s="3">
        <v>14500</v>
      </c>
      <c r="J83" s="2">
        <v>13637</v>
      </c>
      <c r="K83" s="3">
        <v>200</v>
      </c>
      <c r="L83" s="2" t="s">
        <v>50</v>
      </c>
      <c r="M83" s="2" t="s">
        <v>25</v>
      </c>
      <c r="N83" s="2" t="s">
        <v>386</v>
      </c>
      <c r="O83" s="2" t="s">
        <v>26</v>
      </c>
      <c r="P83" s="12">
        <f t="shared" si="1"/>
        <v>8.558620689655172E-2</v>
      </c>
    </row>
    <row r="84" spans="1:16" ht="15.75" customHeight="1">
      <c r="A84" s="2" t="s">
        <v>137</v>
      </c>
      <c r="B84" s="2" t="s">
        <v>23</v>
      </c>
      <c r="C84" s="25">
        <v>45580</v>
      </c>
      <c r="D84" s="2" t="s">
        <v>58</v>
      </c>
      <c r="E84" s="2" t="s">
        <v>138</v>
      </c>
      <c r="F84" s="2">
        <v>1094</v>
      </c>
      <c r="G84" s="2">
        <v>472</v>
      </c>
      <c r="H84" s="2">
        <v>21</v>
      </c>
      <c r="I84" s="3">
        <v>9846</v>
      </c>
      <c r="J84" s="2">
        <v>9609</v>
      </c>
      <c r="K84" s="3">
        <v>112</v>
      </c>
      <c r="L84" s="2" t="s">
        <v>31</v>
      </c>
      <c r="M84" s="2" t="s">
        <v>416</v>
      </c>
      <c r="N84" s="2" t="s">
        <v>416</v>
      </c>
      <c r="P84" s="12">
        <f t="shared" si="1"/>
        <v>0.16118220597196831</v>
      </c>
    </row>
    <row r="85" spans="1:16" ht="15.75" customHeight="1">
      <c r="A85" s="2" t="s">
        <v>139</v>
      </c>
      <c r="B85" s="2" t="s">
        <v>36</v>
      </c>
      <c r="C85" s="25">
        <v>45635</v>
      </c>
      <c r="D85" s="2" t="s">
        <v>43</v>
      </c>
      <c r="E85" s="2" t="s">
        <v>48</v>
      </c>
      <c r="F85" s="2">
        <v>1841</v>
      </c>
      <c r="G85" s="2">
        <v>851</v>
      </c>
      <c r="H85" s="2">
        <v>342</v>
      </c>
      <c r="I85" s="3">
        <v>34979</v>
      </c>
      <c r="J85" s="2">
        <v>34154</v>
      </c>
      <c r="K85" s="3">
        <v>255</v>
      </c>
      <c r="L85" s="2" t="s">
        <v>50</v>
      </c>
      <c r="M85" s="2" t="s">
        <v>416</v>
      </c>
      <c r="N85" s="2" t="s">
        <v>416</v>
      </c>
      <c r="O85" s="2" t="s">
        <v>32</v>
      </c>
      <c r="P85" s="12">
        <f t="shared" si="1"/>
        <v>8.6737756939878216E-2</v>
      </c>
    </row>
    <row r="86" spans="1:16" ht="15.75" customHeight="1">
      <c r="A86" s="2" t="s">
        <v>140</v>
      </c>
      <c r="B86" s="2" t="s">
        <v>28</v>
      </c>
      <c r="C86" s="25">
        <v>45766</v>
      </c>
      <c r="D86" s="2" t="s">
        <v>43</v>
      </c>
      <c r="E86" s="2" t="s">
        <v>136</v>
      </c>
      <c r="F86" s="2">
        <v>4177</v>
      </c>
      <c r="G86" s="2">
        <v>569</v>
      </c>
      <c r="H86" s="2">
        <v>55</v>
      </c>
      <c r="I86" s="3">
        <v>25062</v>
      </c>
      <c r="J86" s="2">
        <v>24847</v>
      </c>
      <c r="K86" s="3">
        <v>230</v>
      </c>
      <c r="L86" s="2" t="s">
        <v>50</v>
      </c>
      <c r="M86" s="2" t="s">
        <v>416</v>
      </c>
      <c r="N86" s="2" t="s">
        <v>416</v>
      </c>
      <c r="O86" s="2" t="s">
        <v>17</v>
      </c>
      <c r="P86" s="12">
        <f t="shared" si="1"/>
        <v>0.19156491900087783</v>
      </c>
    </row>
    <row r="87" spans="1:16" ht="15.75" customHeight="1">
      <c r="A87" s="2" t="s">
        <v>141</v>
      </c>
      <c r="B87" s="2" t="s">
        <v>23</v>
      </c>
      <c r="C87" s="25">
        <v>45684</v>
      </c>
      <c r="D87" s="2" t="s">
        <v>19</v>
      </c>
      <c r="E87" s="2" t="s">
        <v>75</v>
      </c>
      <c r="F87" s="2">
        <v>3428</v>
      </c>
      <c r="G87" s="2">
        <v>305</v>
      </c>
      <c r="H87" s="2">
        <v>85</v>
      </c>
      <c r="I87" s="3">
        <v>58276</v>
      </c>
      <c r="J87" s="2">
        <v>58052</v>
      </c>
      <c r="K87" s="3">
        <v>242</v>
      </c>
      <c r="L87" s="2" t="s">
        <v>31</v>
      </c>
      <c r="M87" s="2" t="s">
        <v>387</v>
      </c>
      <c r="N87" s="2" t="s">
        <v>416</v>
      </c>
      <c r="O87" s="2" t="s">
        <v>32</v>
      </c>
      <c r="P87" s="12">
        <f t="shared" si="1"/>
        <v>6.5515821264328367E-2</v>
      </c>
    </row>
    <row r="88" spans="1:16" ht="15.75" customHeight="1">
      <c r="A88" s="2" t="s">
        <v>142</v>
      </c>
      <c r="B88" s="2" t="s">
        <v>14</v>
      </c>
      <c r="C88" s="25">
        <v>45449</v>
      </c>
      <c r="D88" s="2" t="s">
        <v>58</v>
      </c>
      <c r="E88" s="2" t="s">
        <v>97</v>
      </c>
      <c r="F88" s="2">
        <v>1436</v>
      </c>
      <c r="G88" s="2">
        <v>765</v>
      </c>
      <c r="H88" s="2">
        <v>496</v>
      </c>
      <c r="I88" s="3">
        <v>12924</v>
      </c>
      <c r="J88" s="2">
        <v>12701</v>
      </c>
      <c r="K88" s="3">
        <v>197</v>
      </c>
      <c r="L88" s="2" t="s">
        <v>50</v>
      </c>
      <c r="M88" s="2" t="s">
        <v>416</v>
      </c>
      <c r="N88" s="2" t="s">
        <v>416</v>
      </c>
      <c r="O88" s="2" t="s">
        <v>26</v>
      </c>
      <c r="P88" s="12">
        <f t="shared" si="1"/>
        <v>0.20868152274837512</v>
      </c>
    </row>
    <row r="89" spans="1:16" ht="15.75" customHeight="1">
      <c r="A89" s="2" t="s">
        <v>143</v>
      </c>
      <c r="B89" s="2" t="s">
        <v>36</v>
      </c>
      <c r="C89" s="25">
        <v>45480</v>
      </c>
      <c r="D89" s="2" t="s">
        <v>29</v>
      </c>
      <c r="E89" s="2" t="s">
        <v>56</v>
      </c>
      <c r="F89" s="2">
        <v>302</v>
      </c>
      <c r="G89" s="2">
        <v>47</v>
      </c>
      <c r="H89" s="2">
        <v>430</v>
      </c>
      <c r="I89" s="3">
        <v>5738</v>
      </c>
      <c r="J89" s="2">
        <v>4890</v>
      </c>
      <c r="K89" s="3">
        <v>25</v>
      </c>
      <c r="L89" s="2" t="s">
        <v>25</v>
      </c>
      <c r="M89" s="2" t="s">
        <v>416</v>
      </c>
      <c r="N89" s="2" t="s">
        <v>416</v>
      </c>
      <c r="O89" s="2" t="s">
        <v>32</v>
      </c>
      <c r="P89" s="12">
        <f t="shared" si="1"/>
        <v>0.13576158940397351</v>
      </c>
    </row>
    <row r="90" spans="1:16" ht="15.75" customHeight="1">
      <c r="A90" s="2" t="s">
        <v>144</v>
      </c>
      <c r="B90" s="2" t="s">
        <v>14</v>
      </c>
      <c r="C90" s="25">
        <v>45667</v>
      </c>
      <c r="D90" s="2" t="s">
        <v>43</v>
      </c>
      <c r="E90" s="2" t="s">
        <v>90</v>
      </c>
      <c r="F90" s="2">
        <v>2214</v>
      </c>
      <c r="G90" s="2">
        <v>249</v>
      </c>
      <c r="H90" s="2">
        <v>152</v>
      </c>
      <c r="I90" s="3">
        <v>15498</v>
      </c>
      <c r="J90" s="2">
        <v>14800</v>
      </c>
      <c r="K90" s="3">
        <v>180</v>
      </c>
      <c r="L90" s="2" t="s">
        <v>31</v>
      </c>
      <c r="M90" s="2" t="s">
        <v>416</v>
      </c>
      <c r="N90" s="2" t="s">
        <v>416</v>
      </c>
      <c r="P90" s="12">
        <f t="shared" si="1"/>
        <v>0.16873144921925409</v>
      </c>
    </row>
    <row r="91" spans="1:16" ht="15.75" customHeight="1">
      <c r="A91" s="2" t="s">
        <v>146</v>
      </c>
      <c r="B91" s="2" t="s">
        <v>28</v>
      </c>
      <c r="C91" s="25">
        <v>45446</v>
      </c>
      <c r="D91" s="2" t="s">
        <v>43</v>
      </c>
      <c r="E91" s="2" t="s">
        <v>136</v>
      </c>
      <c r="F91" s="2">
        <v>3861</v>
      </c>
      <c r="G91" s="2">
        <v>960</v>
      </c>
      <c r="H91" s="2">
        <v>101</v>
      </c>
      <c r="I91" s="3">
        <v>69498</v>
      </c>
      <c r="J91" s="2">
        <v>68817</v>
      </c>
      <c r="K91" s="3">
        <v>297</v>
      </c>
      <c r="L91" s="2" t="s">
        <v>25</v>
      </c>
      <c r="M91" s="2" t="s">
        <v>416</v>
      </c>
      <c r="N91" s="2" t="s">
        <v>416</v>
      </c>
      <c r="O91" s="2" t="s">
        <v>32</v>
      </c>
      <c r="P91" s="12">
        <f t="shared" si="1"/>
        <v>7.0822181933293038E-2</v>
      </c>
    </row>
    <row r="92" spans="1:16" ht="15.75" customHeight="1">
      <c r="A92" s="2" t="s">
        <v>147</v>
      </c>
      <c r="B92" s="2" t="s">
        <v>36</v>
      </c>
      <c r="C92" s="25">
        <v>45740</v>
      </c>
      <c r="D92" s="2" t="s">
        <v>43</v>
      </c>
      <c r="E92" s="2" t="s">
        <v>48</v>
      </c>
      <c r="F92" s="2">
        <v>1263</v>
      </c>
      <c r="G92" s="2">
        <v>397</v>
      </c>
      <c r="H92" s="2">
        <v>357</v>
      </c>
      <c r="I92" s="3">
        <v>25260</v>
      </c>
      <c r="J92" s="2">
        <v>24615</v>
      </c>
      <c r="K92" s="3">
        <v>137</v>
      </c>
      <c r="L92" s="2" t="s">
        <v>31</v>
      </c>
      <c r="M92" s="2" t="s">
        <v>416</v>
      </c>
      <c r="N92" s="2" t="s">
        <v>416</v>
      </c>
      <c r="O92" s="2" t="s">
        <v>32</v>
      </c>
      <c r="P92" s="12">
        <f t="shared" si="1"/>
        <v>7.984956452889945E-2</v>
      </c>
    </row>
    <row r="93" spans="1:16" ht="15.75" customHeight="1">
      <c r="A93" s="2" t="s">
        <v>148</v>
      </c>
      <c r="B93" s="2" t="s">
        <v>14</v>
      </c>
      <c r="C93" s="25">
        <v>45586</v>
      </c>
      <c r="D93" s="2" t="s">
        <v>29</v>
      </c>
      <c r="E93" s="2" t="s">
        <v>100</v>
      </c>
      <c r="F93" s="2">
        <v>3801</v>
      </c>
      <c r="G93" s="2">
        <v>967</v>
      </c>
      <c r="H93" s="2">
        <v>401</v>
      </c>
      <c r="I93" s="3">
        <v>38010</v>
      </c>
      <c r="J93" s="2">
        <v>37625</v>
      </c>
      <c r="K93" s="3">
        <v>236</v>
      </c>
      <c r="L93" s="2" t="s">
        <v>50</v>
      </c>
      <c r="M93" s="2" t="s">
        <v>416</v>
      </c>
      <c r="N93" s="2" t="s">
        <v>416</v>
      </c>
      <c r="O93" s="2" t="s">
        <v>26</v>
      </c>
      <c r="P93" s="12">
        <f t="shared" si="1"/>
        <v>0.13599052880820836</v>
      </c>
    </row>
    <row r="94" spans="1:16" ht="15.75" customHeight="1">
      <c r="A94" s="2" t="s">
        <v>149</v>
      </c>
      <c r="B94" s="2" t="s">
        <v>28</v>
      </c>
      <c r="C94" s="25">
        <v>45637</v>
      </c>
      <c r="D94" s="2" t="s">
        <v>58</v>
      </c>
      <c r="E94" s="2" t="s">
        <v>65</v>
      </c>
      <c r="F94" s="2">
        <v>1431</v>
      </c>
      <c r="G94" s="2">
        <v>951</v>
      </c>
      <c r="H94" s="2">
        <v>26</v>
      </c>
      <c r="I94" s="3">
        <v>8586</v>
      </c>
      <c r="J94" s="2">
        <v>8396</v>
      </c>
      <c r="K94" s="3">
        <v>150</v>
      </c>
      <c r="L94" s="2" t="s">
        <v>31</v>
      </c>
      <c r="M94" s="2" t="s">
        <v>416</v>
      </c>
      <c r="N94" s="2" t="s">
        <v>416</v>
      </c>
      <c r="O94" s="2" t="s">
        <v>26</v>
      </c>
      <c r="P94" s="12">
        <f t="shared" si="1"/>
        <v>0.28045655718611695</v>
      </c>
    </row>
    <row r="95" spans="1:16" ht="15.75" customHeight="1">
      <c r="A95" s="2" t="s">
        <v>150</v>
      </c>
      <c r="B95" s="2" t="s">
        <v>28</v>
      </c>
      <c r="C95" s="25">
        <v>45603</v>
      </c>
      <c r="D95" s="2" t="s">
        <v>43</v>
      </c>
      <c r="E95" s="2" t="s">
        <v>136</v>
      </c>
      <c r="F95" s="2">
        <v>2647</v>
      </c>
      <c r="G95" s="2">
        <v>304</v>
      </c>
      <c r="H95" s="2">
        <v>170</v>
      </c>
      <c r="I95" s="3">
        <v>18529</v>
      </c>
      <c r="J95" s="2">
        <v>17841</v>
      </c>
      <c r="K95" s="3">
        <v>46</v>
      </c>
      <c r="L95" s="2" t="s">
        <v>50</v>
      </c>
      <c r="M95" s="2" t="s">
        <v>416</v>
      </c>
      <c r="N95" s="2" t="s">
        <v>416</v>
      </c>
      <c r="O95" s="2" t="s">
        <v>26</v>
      </c>
      <c r="P95" s="12">
        <f t="shared" si="1"/>
        <v>0.16843866371633656</v>
      </c>
    </row>
    <row r="96" spans="1:16" ht="15.75" customHeight="1">
      <c r="A96" s="2" t="s">
        <v>151</v>
      </c>
      <c r="B96" s="2" t="s">
        <v>28</v>
      </c>
      <c r="C96" s="25">
        <v>45604</v>
      </c>
      <c r="D96" s="2" t="s">
        <v>19</v>
      </c>
      <c r="E96" s="2" t="s">
        <v>80</v>
      </c>
      <c r="F96" s="2">
        <v>3182</v>
      </c>
      <c r="G96" s="2">
        <v>559</v>
      </c>
      <c r="H96" s="2">
        <v>160</v>
      </c>
      <c r="I96" s="3">
        <v>57276</v>
      </c>
      <c r="J96" s="2">
        <v>56890</v>
      </c>
      <c r="K96" s="3">
        <v>163</v>
      </c>
      <c r="L96" s="2" t="s">
        <v>50</v>
      </c>
      <c r="M96" s="2" t="s">
        <v>416</v>
      </c>
      <c r="N96" s="2" t="s">
        <v>416</v>
      </c>
      <c r="O96" s="2" t="s">
        <v>32</v>
      </c>
      <c r="P96" s="12">
        <f t="shared" si="1"/>
        <v>6.8108806480899509E-2</v>
      </c>
    </row>
    <row r="97" spans="1:16" ht="15.75" customHeight="1">
      <c r="A97" s="2" t="s">
        <v>152</v>
      </c>
      <c r="B97" s="2" t="s">
        <v>14</v>
      </c>
      <c r="C97" s="25">
        <v>45545</v>
      </c>
      <c r="D97" s="2" t="s">
        <v>43</v>
      </c>
      <c r="E97" s="2" t="s">
        <v>90</v>
      </c>
      <c r="F97" s="2">
        <v>1238</v>
      </c>
      <c r="G97" s="2">
        <v>366</v>
      </c>
      <c r="H97" s="2">
        <v>444</v>
      </c>
      <c r="I97" s="3">
        <v>19808</v>
      </c>
      <c r="J97" s="2">
        <v>19334</v>
      </c>
      <c r="K97" s="3">
        <v>123</v>
      </c>
      <c r="L97" s="2" t="s">
        <v>50</v>
      </c>
      <c r="M97" s="2" t="s">
        <v>416</v>
      </c>
      <c r="N97" s="2" t="s">
        <v>416</v>
      </c>
      <c r="P97" s="12">
        <f t="shared" si="1"/>
        <v>0.10339256865912763</v>
      </c>
    </row>
    <row r="98" spans="1:16" ht="15.75" customHeight="1">
      <c r="A98" s="2" t="s">
        <v>153</v>
      </c>
      <c r="B98" s="2" t="s">
        <v>28</v>
      </c>
      <c r="C98" s="25">
        <v>45517</v>
      </c>
      <c r="D98" s="2" t="s">
        <v>43</v>
      </c>
      <c r="E98" s="2" t="s">
        <v>136</v>
      </c>
      <c r="F98" s="2">
        <v>4739</v>
      </c>
      <c r="G98" s="2">
        <v>527</v>
      </c>
      <c r="H98" s="2">
        <v>135</v>
      </c>
      <c r="I98" s="3">
        <v>61607</v>
      </c>
      <c r="J98" s="2">
        <v>61333</v>
      </c>
      <c r="K98" s="3">
        <v>36</v>
      </c>
      <c r="L98" s="2" t="s">
        <v>25</v>
      </c>
      <c r="M98" s="2" t="s">
        <v>386</v>
      </c>
      <c r="N98" s="2" t="s">
        <v>416</v>
      </c>
      <c r="O98" s="2" t="s">
        <v>21</v>
      </c>
      <c r="P98" s="12">
        <f t="shared" si="1"/>
        <v>8.7668609086629767E-2</v>
      </c>
    </row>
    <row r="99" spans="1:16" ht="15.75" customHeight="1">
      <c r="A99" s="2" t="s">
        <v>154</v>
      </c>
      <c r="B99" s="2" t="s">
        <v>14</v>
      </c>
      <c r="C99" s="25">
        <v>45453</v>
      </c>
      <c r="D99" s="2" t="s">
        <v>29</v>
      </c>
      <c r="E99" s="2" t="s">
        <v>100</v>
      </c>
      <c r="F99" s="2">
        <v>1575</v>
      </c>
      <c r="G99" s="2">
        <v>771</v>
      </c>
      <c r="H99" s="2">
        <v>486</v>
      </c>
      <c r="I99" s="3">
        <v>25200</v>
      </c>
      <c r="J99" s="2">
        <v>24826</v>
      </c>
      <c r="K99" s="3">
        <v>17</v>
      </c>
      <c r="L99" s="2" t="s">
        <v>50</v>
      </c>
      <c r="M99" s="2" t="s">
        <v>416</v>
      </c>
      <c r="N99" s="2" t="s">
        <v>416</v>
      </c>
      <c r="O99" s="2" t="s">
        <v>32</v>
      </c>
      <c r="P99" s="12">
        <f t="shared" si="1"/>
        <v>0.11238095238095239</v>
      </c>
    </row>
    <row r="100" spans="1:16" ht="15.75" customHeight="1">
      <c r="A100" s="2" t="s">
        <v>155</v>
      </c>
      <c r="B100" s="2" t="s">
        <v>23</v>
      </c>
      <c r="C100" s="25">
        <v>45475</v>
      </c>
      <c r="D100" s="2" t="s">
        <v>38</v>
      </c>
      <c r="E100" s="2" t="s">
        <v>54</v>
      </c>
      <c r="F100" s="2">
        <v>4171</v>
      </c>
      <c r="G100" s="2">
        <v>548</v>
      </c>
      <c r="H100" s="2">
        <v>86</v>
      </c>
      <c r="I100" s="3">
        <v>66736</v>
      </c>
      <c r="J100" s="2">
        <v>66634</v>
      </c>
      <c r="K100" s="3">
        <v>173</v>
      </c>
      <c r="L100" s="2" t="s">
        <v>50</v>
      </c>
      <c r="M100" s="2" t="s">
        <v>416</v>
      </c>
      <c r="N100" s="2" t="s">
        <v>416</v>
      </c>
      <c r="O100" s="2" t="s">
        <v>26</v>
      </c>
      <c r="P100" s="12">
        <f t="shared" si="1"/>
        <v>7.2000119875329657E-2</v>
      </c>
    </row>
    <row r="101" spans="1:16" ht="15.75" customHeight="1">
      <c r="A101" s="2" t="s">
        <v>156</v>
      </c>
      <c r="B101" s="2" t="s">
        <v>23</v>
      </c>
      <c r="C101" s="25">
        <v>45698</v>
      </c>
      <c r="D101" s="2" t="s">
        <v>58</v>
      </c>
      <c r="E101" s="2" t="s">
        <v>138</v>
      </c>
      <c r="F101" s="2">
        <v>1766</v>
      </c>
      <c r="G101" s="2">
        <v>92</v>
      </c>
      <c r="H101" s="2">
        <v>424</v>
      </c>
      <c r="I101" s="3">
        <v>24724</v>
      </c>
      <c r="J101" s="2">
        <v>24333</v>
      </c>
      <c r="K101" s="3">
        <v>52</v>
      </c>
      <c r="L101" s="2" t="s">
        <v>31</v>
      </c>
      <c r="M101" s="2" t="s">
        <v>416</v>
      </c>
      <c r="N101" s="2" t="s">
        <v>416</v>
      </c>
      <c r="P101" s="12">
        <f t="shared" si="1"/>
        <v>9.2298980747451867E-2</v>
      </c>
    </row>
    <row r="102" spans="1:16" ht="15.75" customHeight="1">
      <c r="A102" s="2" t="s">
        <v>157</v>
      </c>
      <c r="B102" s="2" t="s">
        <v>23</v>
      </c>
      <c r="C102" s="25">
        <v>45583</v>
      </c>
      <c r="D102" s="2" t="s">
        <v>58</v>
      </c>
      <c r="E102" s="2" t="s">
        <v>138</v>
      </c>
      <c r="F102" s="2">
        <v>4450</v>
      </c>
      <c r="G102" s="2">
        <v>983</v>
      </c>
      <c r="H102" s="2">
        <v>143</v>
      </c>
      <c r="I102" s="3">
        <v>75650</v>
      </c>
      <c r="J102" s="2">
        <v>75008</v>
      </c>
      <c r="K102" s="3">
        <v>12</v>
      </c>
      <c r="L102" s="2" t="s">
        <v>50</v>
      </c>
      <c r="M102" s="2" t="s">
        <v>416</v>
      </c>
      <c r="N102" s="2" t="s">
        <v>416</v>
      </c>
      <c r="O102" s="2" t="s">
        <v>26</v>
      </c>
      <c r="P102" s="12">
        <f t="shared" si="1"/>
        <v>7.3707865168539333E-2</v>
      </c>
    </row>
    <row r="103" spans="1:16" ht="15.75" customHeight="1">
      <c r="A103" s="2" t="s">
        <v>158</v>
      </c>
      <c r="B103" s="2" t="s">
        <v>14</v>
      </c>
      <c r="C103" s="25">
        <v>45553</v>
      </c>
      <c r="D103" s="2" t="s">
        <v>15</v>
      </c>
      <c r="E103" s="2" t="s">
        <v>16</v>
      </c>
      <c r="F103" s="2">
        <v>1000</v>
      </c>
      <c r="G103" s="2">
        <v>978</v>
      </c>
      <c r="H103" s="2">
        <v>162</v>
      </c>
      <c r="I103" s="3">
        <v>6000</v>
      </c>
      <c r="J103" s="2">
        <v>5221</v>
      </c>
      <c r="K103" s="3">
        <v>223</v>
      </c>
      <c r="L103" s="2" t="s">
        <v>31</v>
      </c>
      <c r="M103" s="2" t="s">
        <v>416</v>
      </c>
      <c r="N103" s="2" t="s">
        <v>416</v>
      </c>
      <c r="O103" s="2" t="s">
        <v>21</v>
      </c>
      <c r="P103" s="12">
        <f t="shared" si="1"/>
        <v>0.35666666666666669</v>
      </c>
    </row>
    <row r="104" spans="1:16" ht="15.75" customHeight="1">
      <c r="A104" s="2" t="s">
        <v>159</v>
      </c>
      <c r="B104" s="2" t="s">
        <v>36</v>
      </c>
      <c r="C104" s="25">
        <v>45454</v>
      </c>
      <c r="D104" s="2" t="s">
        <v>43</v>
      </c>
      <c r="E104" s="2" t="s">
        <v>48</v>
      </c>
      <c r="F104" s="2">
        <v>3689</v>
      </c>
      <c r="G104" s="2">
        <v>48</v>
      </c>
      <c r="H104" s="2">
        <v>306</v>
      </c>
      <c r="I104" s="3">
        <v>40579</v>
      </c>
      <c r="J104" s="2">
        <v>39588</v>
      </c>
      <c r="K104" s="3">
        <v>212</v>
      </c>
      <c r="L104" s="2" t="s">
        <v>31</v>
      </c>
      <c r="M104" s="2" t="s">
        <v>416</v>
      </c>
      <c r="N104" s="2" t="s">
        <v>416</v>
      </c>
      <c r="O104" s="2" t="s">
        <v>21</v>
      </c>
      <c r="P104" s="12">
        <f t="shared" si="1"/>
        <v>9.9632815002833983E-2</v>
      </c>
    </row>
    <row r="105" spans="1:16" ht="15.75" customHeight="1">
      <c r="A105" s="2" t="s">
        <v>160</v>
      </c>
      <c r="B105" s="2" t="s">
        <v>23</v>
      </c>
      <c r="C105" s="25">
        <v>45739</v>
      </c>
      <c r="D105" s="2" t="s">
        <v>29</v>
      </c>
      <c r="E105" s="2" t="s">
        <v>103</v>
      </c>
      <c r="F105" s="2">
        <v>3655</v>
      </c>
      <c r="G105" s="2">
        <v>568</v>
      </c>
      <c r="H105" s="2">
        <v>286</v>
      </c>
      <c r="I105" s="3">
        <v>32895</v>
      </c>
      <c r="J105" s="2">
        <v>32015</v>
      </c>
      <c r="K105" s="3">
        <v>199</v>
      </c>
      <c r="L105" s="2" t="s">
        <v>25</v>
      </c>
      <c r="M105" s="2" t="s">
        <v>416</v>
      </c>
      <c r="N105" s="2" t="s">
        <v>416</v>
      </c>
      <c r="O105" s="2" t="s">
        <v>26</v>
      </c>
      <c r="P105" s="12">
        <f t="shared" si="1"/>
        <v>0.13707250341997265</v>
      </c>
    </row>
    <row r="106" spans="1:16" ht="15.75" customHeight="1">
      <c r="A106" s="2" t="s">
        <v>161</v>
      </c>
      <c r="B106" s="2" t="s">
        <v>28</v>
      </c>
      <c r="C106" s="25">
        <v>45457</v>
      </c>
      <c r="D106" s="2" t="s">
        <v>38</v>
      </c>
      <c r="E106" s="2" t="s">
        <v>67</v>
      </c>
      <c r="F106" s="2">
        <v>498</v>
      </c>
      <c r="G106" s="2">
        <v>38</v>
      </c>
      <c r="H106" s="2">
        <v>42</v>
      </c>
      <c r="I106" s="3">
        <v>4482</v>
      </c>
      <c r="J106" s="2">
        <v>3647</v>
      </c>
      <c r="K106" s="3">
        <v>32</v>
      </c>
      <c r="L106" s="2" t="s">
        <v>50</v>
      </c>
      <c r="M106" s="2" t="s">
        <v>416</v>
      </c>
      <c r="N106" s="2" t="s">
        <v>416</v>
      </c>
      <c r="O106" s="2" t="s">
        <v>17</v>
      </c>
      <c r="P106" s="12">
        <f t="shared" si="1"/>
        <v>0.12896028558679162</v>
      </c>
    </row>
    <row r="107" spans="1:16" ht="15.75" customHeight="1">
      <c r="A107" s="2" t="s">
        <v>162</v>
      </c>
      <c r="B107" s="2" t="s">
        <v>28</v>
      </c>
      <c r="C107" s="25">
        <v>45692</v>
      </c>
      <c r="D107" s="2" t="s">
        <v>43</v>
      </c>
      <c r="E107" s="2" t="s">
        <v>136</v>
      </c>
      <c r="F107" s="2">
        <v>4619</v>
      </c>
      <c r="G107" s="2">
        <v>821</v>
      </c>
      <c r="H107" s="2">
        <v>499</v>
      </c>
      <c r="I107" s="3">
        <v>69285</v>
      </c>
      <c r="J107" s="2">
        <v>69141</v>
      </c>
      <c r="K107" s="3">
        <v>298</v>
      </c>
      <c r="L107" s="2" t="s">
        <v>25</v>
      </c>
      <c r="M107" s="2" t="s">
        <v>416</v>
      </c>
      <c r="N107" s="2" t="s">
        <v>416</v>
      </c>
      <c r="O107" s="2" t="s">
        <v>32</v>
      </c>
      <c r="P107" s="12">
        <f t="shared" si="1"/>
        <v>8.5718409468138843E-2</v>
      </c>
    </row>
    <row r="108" spans="1:16" ht="15.75" customHeight="1">
      <c r="A108" s="2" t="s">
        <v>163</v>
      </c>
      <c r="B108" s="2" t="s">
        <v>23</v>
      </c>
      <c r="C108" s="25">
        <v>45464</v>
      </c>
      <c r="D108" s="2" t="s">
        <v>43</v>
      </c>
      <c r="E108" s="2" t="s">
        <v>44</v>
      </c>
      <c r="F108" s="2">
        <v>4832</v>
      </c>
      <c r="G108" s="2">
        <v>893</v>
      </c>
      <c r="H108" s="2">
        <v>10</v>
      </c>
      <c r="I108" s="3">
        <v>91808</v>
      </c>
      <c r="J108" s="2">
        <v>91296</v>
      </c>
      <c r="K108" s="3">
        <v>182</v>
      </c>
      <c r="L108" s="2" t="s">
        <v>25</v>
      </c>
      <c r="M108" s="2" t="s">
        <v>416</v>
      </c>
      <c r="N108" s="2" t="s">
        <v>416</v>
      </c>
      <c r="P108" s="12">
        <f t="shared" si="1"/>
        <v>6.2467323109097243E-2</v>
      </c>
    </row>
    <row r="109" spans="1:16" ht="15.75" customHeight="1">
      <c r="A109" s="2" t="s">
        <v>164</v>
      </c>
      <c r="B109" s="2" t="s">
        <v>14</v>
      </c>
      <c r="C109" s="25">
        <v>45741</v>
      </c>
      <c r="D109" s="2" t="s">
        <v>58</v>
      </c>
      <c r="E109" s="2" t="s">
        <v>97</v>
      </c>
      <c r="F109" s="2">
        <v>4050</v>
      </c>
      <c r="G109" s="2">
        <v>871</v>
      </c>
      <c r="H109" s="2">
        <v>347</v>
      </c>
      <c r="I109" s="3">
        <v>52650</v>
      </c>
      <c r="J109" s="2">
        <v>51755</v>
      </c>
      <c r="K109" s="3">
        <v>209</v>
      </c>
      <c r="L109" s="2" t="s">
        <v>25</v>
      </c>
      <c r="M109" s="2" t="s">
        <v>416</v>
      </c>
      <c r="N109" s="2" t="s">
        <v>416</v>
      </c>
      <c r="O109" s="2" t="s">
        <v>21</v>
      </c>
      <c r="P109" s="12">
        <f t="shared" si="1"/>
        <v>0.10005698005698006</v>
      </c>
    </row>
    <row r="110" spans="1:16" ht="15.75" customHeight="1">
      <c r="A110" s="2" t="s">
        <v>165</v>
      </c>
      <c r="B110" s="2" t="s">
        <v>14</v>
      </c>
      <c r="C110" s="25">
        <v>45512</v>
      </c>
      <c r="D110" s="2" t="s">
        <v>29</v>
      </c>
      <c r="E110" s="2" t="s">
        <v>100</v>
      </c>
      <c r="F110" s="2">
        <v>3649</v>
      </c>
      <c r="G110" s="2">
        <v>215</v>
      </c>
      <c r="H110" s="2">
        <v>413</v>
      </c>
      <c r="I110" s="3">
        <v>25543</v>
      </c>
      <c r="J110" s="2">
        <v>24963</v>
      </c>
      <c r="K110" s="3">
        <v>167</v>
      </c>
      <c r="L110" s="2" t="s">
        <v>50</v>
      </c>
      <c r="M110" s="2" t="s">
        <v>416</v>
      </c>
      <c r="N110" s="2" t="s">
        <v>416</v>
      </c>
      <c r="O110" s="2" t="s">
        <v>26</v>
      </c>
      <c r="P110" s="12">
        <f t="shared" si="1"/>
        <v>0.16744313510550835</v>
      </c>
    </row>
    <row r="111" spans="1:16" ht="15.75" customHeight="1">
      <c r="A111" s="2" t="s">
        <v>166</v>
      </c>
      <c r="B111" s="2" t="s">
        <v>28</v>
      </c>
      <c r="C111" s="25">
        <v>45502</v>
      </c>
      <c r="D111" s="2" t="s">
        <v>15</v>
      </c>
      <c r="E111" s="2" t="s">
        <v>63</v>
      </c>
      <c r="F111" s="2">
        <v>3523</v>
      </c>
      <c r="G111" s="2">
        <v>753</v>
      </c>
      <c r="H111" s="2">
        <v>482</v>
      </c>
      <c r="I111" s="3">
        <v>38753</v>
      </c>
      <c r="J111" s="2">
        <v>38579</v>
      </c>
      <c r="K111" s="3">
        <v>270</v>
      </c>
      <c r="L111" s="2" t="s">
        <v>31</v>
      </c>
      <c r="M111" s="2" t="s">
        <v>416</v>
      </c>
      <c r="N111" s="2" t="s">
        <v>416</v>
      </c>
      <c r="O111" s="2" t="s">
        <v>21</v>
      </c>
      <c r="P111" s="12">
        <f t="shared" si="1"/>
        <v>0.12277759141227776</v>
      </c>
    </row>
    <row r="112" spans="1:16" ht="15.75" customHeight="1">
      <c r="A112" s="2" t="s">
        <v>167</v>
      </c>
      <c r="B112" s="2" t="s">
        <v>23</v>
      </c>
      <c r="C112" s="25">
        <v>45619</v>
      </c>
      <c r="D112" s="2" t="s">
        <v>43</v>
      </c>
      <c r="E112" s="2" t="s">
        <v>44</v>
      </c>
      <c r="F112" s="2">
        <v>2719</v>
      </c>
      <c r="G112" s="2">
        <v>17</v>
      </c>
      <c r="H112" s="2">
        <v>285</v>
      </c>
      <c r="I112" s="3">
        <v>40785</v>
      </c>
      <c r="J112" s="2">
        <v>40281</v>
      </c>
      <c r="K112" s="3">
        <v>40</v>
      </c>
      <c r="L112" s="2" t="s">
        <v>25</v>
      </c>
      <c r="M112" s="2" t="s">
        <v>416</v>
      </c>
      <c r="N112" s="2" t="s">
        <v>416</v>
      </c>
      <c r="O112" s="2" t="s">
        <v>21</v>
      </c>
      <c r="P112" s="12">
        <f t="shared" si="1"/>
        <v>7.4071349760941527E-2</v>
      </c>
    </row>
    <row r="113" spans="1:16" ht="15.75" customHeight="1">
      <c r="A113" s="2" t="s">
        <v>168</v>
      </c>
      <c r="B113" s="2" t="s">
        <v>14</v>
      </c>
      <c r="C113" s="25">
        <v>45570</v>
      </c>
      <c r="D113" s="2" t="s">
        <v>29</v>
      </c>
      <c r="E113" s="2" t="s">
        <v>100</v>
      </c>
      <c r="F113" s="2">
        <v>1957</v>
      </c>
      <c r="G113" s="2">
        <v>877</v>
      </c>
      <c r="H113" s="2">
        <v>238</v>
      </c>
      <c r="I113" s="3">
        <v>17613</v>
      </c>
      <c r="J113" s="2">
        <v>16865</v>
      </c>
      <c r="K113" s="3">
        <v>297</v>
      </c>
      <c r="L113" s="2" t="s">
        <v>50</v>
      </c>
      <c r="M113" s="2" t="s">
        <v>416</v>
      </c>
      <c r="N113" s="2" t="s">
        <v>416</v>
      </c>
      <c r="O113" s="2" t="s">
        <v>26</v>
      </c>
      <c r="P113" s="12">
        <f t="shared" si="1"/>
        <v>0.17441662408448305</v>
      </c>
    </row>
    <row r="114" spans="1:16" ht="15.75" customHeight="1">
      <c r="A114" s="2" t="s">
        <v>169</v>
      </c>
      <c r="B114" s="2" t="s">
        <v>14</v>
      </c>
      <c r="C114" s="25">
        <v>45567</v>
      </c>
      <c r="D114" s="2" t="s">
        <v>38</v>
      </c>
      <c r="E114" s="2" t="s">
        <v>41</v>
      </c>
      <c r="F114" s="2">
        <v>4419</v>
      </c>
      <c r="G114" s="2">
        <v>236</v>
      </c>
      <c r="H114" s="2">
        <v>369</v>
      </c>
      <c r="I114" s="3">
        <v>44190</v>
      </c>
      <c r="J114" s="2">
        <v>43582</v>
      </c>
      <c r="K114" s="3">
        <v>10</v>
      </c>
      <c r="L114" s="2" t="s">
        <v>31</v>
      </c>
      <c r="M114" s="2" t="s">
        <v>416</v>
      </c>
      <c r="N114" s="2" t="s">
        <v>416</v>
      </c>
      <c r="O114" s="2" t="s">
        <v>17</v>
      </c>
      <c r="P114" s="12">
        <f t="shared" si="1"/>
        <v>0.11369088028965829</v>
      </c>
    </row>
    <row r="115" spans="1:16" ht="15.75" customHeight="1">
      <c r="A115" s="2" t="s">
        <v>170</v>
      </c>
      <c r="B115" s="2" t="s">
        <v>14</v>
      </c>
      <c r="C115" s="25">
        <v>45610</v>
      </c>
      <c r="D115" s="2" t="s">
        <v>29</v>
      </c>
      <c r="E115" s="2" t="s">
        <v>100</v>
      </c>
      <c r="F115" s="2">
        <v>4000</v>
      </c>
      <c r="G115" s="2">
        <v>689</v>
      </c>
      <c r="H115" s="2">
        <v>488</v>
      </c>
      <c r="I115" s="3">
        <v>40000</v>
      </c>
      <c r="J115" s="2">
        <v>39569</v>
      </c>
      <c r="K115" s="3">
        <v>44</v>
      </c>
      <c r="L115" s="2" t="s">
        <v>50</v>
      </c>
      <c r="M115" s="2" t="s">
        <v>416</v>
      </c>
      <c r="N115" s="2" t="s">
        <v>416</v>
      </c>
      <c r="O115" s="2" t="s">
        <v>17</v>
      </c>
      <c r="P115" s="12">
        <f t="shared" si="1"/>
        <v>0.12942500000000001</v>
      </c>
    </row>
    <row r="116" spans="1:16" ht="15.75" customHeight="1">
      <c r="A116" s="2" t="s">
        <v>171</v>
      </c>
      <c r="B116" s="2" t="s">
        <v>14</v>
      </c>
      <c r="C116" s="25">
        <v>45788</v>
      </c>
      <c r="D116" s="2" t="s">
        <v>43</v>
      </c>
      <c r="E116" s="2" t="s">
        <v>90</v>
      </c>
      <c r="F116" s="2">
        <v>2493</v>
      </c>
      <c r="G116" s="2">
        <v>97</v>
      </c>
      <c r="H116" s="2">
        <v>44</v>
      </c>
      <c r="I116" s="3">
        <v>42381</v>
      </c>
      <c r="J116" s="2">
        <v>41991</v>
      </c>
      <c r="K116" s="3">
        <v>242</v>
      </c>
      <c r="L116" s="2" t="s">
        <v>25</v>
      </c>
      <c r="M116" s="2" t="s">
        <v>386</v>
      </c>
      <c r="N116" s="2" t="s">
        <v>416</v>
      </c>
      <c r="O116" s="2" t="s">
        <v>32</v>
      </c>
      <c r="P116" s="12">
        <f t="shared" si="1"/>
        <v>6.2150491965739366E-2</v>
      </c>
    </row>
    <row r="117" spans="1:16" ht="15.75" customHeight="1">
      <c r="A117" s="2" t="s">
        <v>172</v>
      </c>
      <c r="B117" s="2" t="s">
        <v>23</v>
      </c>
      <c r="C117" s="25">
        <v>45734</v>
      </c>
      <c r="D117" s="2" t="s">
        <v>15</v>
      </c>
      <c r="E117" s="2" t="s">
        <v>24</v>
      </c>
      <c r="F117" s="2">
        <v>3704</v>
      </c>
      <c r="G117" s="2">
        <v>186</v>
      </c>
      <c r="H117" s="2">
        <v>458</v>
      </c>
      <c r="I117" s="3">
        <v>25928</v>
      </c>
      <c r="J117" s="2">
        <v>25081</v>
      </c>
      <c r="K117" s="3">
        <v>131</v>
      </c>
      <c r="L117" s="2" t="s">
        <v>25</v>
      </c>
      <c r="M117" s="2" t="s">
        <v>416</v>
      </c>
      <c r="N117" s="2" t="s">
        <v>416</v>
      </c>
      <c r="P117" s="12">
        <f t="shared" si="1"/>
        <v>0.16769515581610614</v>
      </c>
    </row>
    <row r="118" spans="1:16" ht="15.75" customHeight="1">
      <c r="A118" s="2" t="s">
        <v>173</v>
      </c>
      <c r="B118" s="2" t="s">
        <v>14</v>
      </c>
      <c r="C118" s="25">
        <v>45600</v>
      </c>
      <c r="D118" s="2" t="s">
        <v>43</v>
      </c>
      <c r="E118" s="2" t="s">
        <v>90</v>
      </c>
      <c r="F118" s="2">
        <v>1606</v>
      </c>
      <c r="G118" s="2">
        <v>451</v>
      </c>
      <c r="H118" s="2">
        <v>405</v>
      </c>
      <c r="I118" s="3">
        <v>20878</v>
      </c>
      <c r="J118" s="2">
        <v>20190</v>
      </c>
      <c r="K118" s="3">
        <v>219</v>
      </c>
      <c r="L118" s="2" t="s">
        <v>31</v>
      </c>
      <c r="M118" s="2" t="s">
        <v>416</v>
      </c>
      <c r="N118" s="2" t="s">
        <v>416</v>
      </c>
      <c r="O118" s="2" t="s">
        <v>32</v>
      </c>
      <c r="P118" s="12">
        <f t="shared" si="1"/>
        <v>0.11792317271769326</v>
      </c>
    </row>
    <row r="119" spans="1:16" ht="15.75" customHeight="1">
      <c r="A119" s="2" t="s">
        <v>174</v>
      </c>
      <c r="B119" s="2" t="s">
        <v>36</v>
      </c>
      <c r="C119" s="25">
        <v>45600</v>
      </c>
      <c r="D119" s="2" t="s">
        <v>43</v>
      </c>
      <c r="E119" s="2" t="s">
        <v>48</v>
      </c>
      <c r="F119" s="2">
        <v>4551</v>
      </c>
      <c r="G119" s="2">
        <v>714</v>
      </c>
      <c r="H119" s="2">
        <v>207</v>
      </c>
      <c r="I119" s="3">
        <v>68265</v>
      </c>
      <c r="J119" s="2">
        <v>67754</v>
      </c>
      <c r="K119" s="3">
        <v>57</v>
      </c>
      <c r="L119" s="2" t="s">
        <v>50</v>
      </c>
      <c r="M119" s="2" t="s">
        <v>416</v>
      </c>
      <c r="N119" s="2" t="s">
        <v>416</v>
      </c>
      <c r="O119" s="2" t="s">
        <v>26</v>
      </c>
      <c r="P119" s="12">
        <f t="shared" si="1"/>
        <v>8.0158206987475278E-2</v>
      </c>
    </row>
    <row r="120" spans="1:16" ht="15.75" customHeight="1">
      <c r="A120" s="2" t="s">
        <v>175</v>
      </c>
      <c r="B120" s="2" t="s">
        <v>28</v>
      </c>
      <c r="C120" s="25">
        <v>45695</v>
      </c>
      <c r="D120" s="2" t="s">
        <v>15</v>
      </c>
      <c r="E120" s="2" t="s">
        <v>63</v>
      </c>
      <c r="F120" s="2">
        <v>1970</v>
      </c>
      <c r="G120" s="2">
        <v>675</v>
      </c>
      <c r="H120" s="2">
        <v>478</v>
      </c>
      <c r="I120" s="3">
        <v>9850</v>
      </c>
      <c r="J120" s="2">
        <v>8924</v>
      </c>
      <c r="K120" s="3">
        <v>117</v>
      </c>
      <c r="L120" s="2" t="s">
        <v>50</v>
      </c>
      <c r="M120" s="2" t="s">
        <v>416</v>
      </c>
      <c r="N120" s="2" t="s">
        <v>416</v>
      </c>
      <c r="P120" s="12">
        <f t="shared" si="1"/>
        <v>0.31705583756345179</v>
      </c>
    </row>
    <row r="121" spans="1:16" ht="15.75" customHeight="1">
      <c r="A121" s="2" t="s">
        <v>176</v>
      </c>
      <c r="B121" s="2" t="s">
        <v>36</v>
      </c>
      <c r="C121" s="25">
        <v>45586</v>
      </c>
      <c r="D121" s="2" t="s">
        <v>29</v>
      </c>
      <c r="E121" s="2" t="s">
        <v>56</v>
      </c>
      <c r="F121" s="2">
        <v>780</v>
      </c>
      <c r="G121" s="2">
        <v>928</v>
      </c>
      <c r="H121" s="2">
        <v>301</v>
      </c>
      <c r="I121" s="3">
        <v>8580</v>
      </c>
      <c r="J121" s="2">
        <v>8081</v>
      </c>
      <c r="K121" s="3">
        <v>91</v>
      </c>
      <c r="L121" s="2" t="s">
        <v>31</v>
      </c>
      <c r="M121" s="2" t="s">
        <v>416</v>
      </c>
      <c r="N121" s="2" t="s">
        <v>416</v>
      </c>
      <c r="O121" s="2" t="s">
        <v>26</v>
      </c>
      <c r="P121" s="12">
        <f t="shared" si="1"/>
        <v>0.23414918414918415</v>
      </c>
    </row>
    <row r="122" spans="1:16" ht="15.75" customHeight="1">
      <c r="A122" s="2" t="s">
        <v>177</v>
      </c>
      <c r="B122" s="2" t="s">
        <v>28</v>
      </c>
      <c r="C122" s="25">
        <v>45502</v>
      </c>
      <c r="D122" s="2" t="s">
        <v>29</v>
      </c>
      <c r="E122" s="2" t="s">
        <v>30</v>
      </c>
      <c r="F122" s="2">
        <v>498</v>
      </c>
      <c r="G122" s="2">
        <v>701</v>
      </c>
      <c r="H122" s="2">
        <v>412</v>
      </c>
      <c r="I122" s="3">
        <v>4980</v>
      </c>
      <c r="J122" s="2">
        <v>4185</v>
      </c>
      <c r="K122" s="3">
        <v>185</v>
      </c>
      <c r="L122" s="2" t="s">
        <v>50</v>
      </c>
      <c r="M122" s="2" t="s">
        <v>416</v>
      </c>
      <c r="N122" s="2" t="s">
        <v>416</v>
      </c>
      <c r="P122" s="12">
        <f t="shared" si="1"/>
        <v>0.32349397590361445</v>
      </c>
    </row>
    <row r="123" spans="1:16" ht="15.75" customHeight="1">
      <c r="A123" s="2" t="s">
        <v>178</v>
      </c>
      <c r="B123" s="2" t="s">
        <v>28</v>
      </c>
      <c r="C123" s="25">
        <v>45567</v>
      </c>
      <c r="D123" s="2" t="s">
        <v>19</v>
      </c>
      <c r="E123" s="2" t="s">
        <v>80</v>
      </c>
      <c r="F123" s="2">
        <v>3432</v>
      </c>
      <c r="G123" s="2">
        <v>869</v>
      </c>
      <c r="H123" s="2">
        <v>123</v>
      </c>
      <c r="I123" s="3">
        <v>54912</v>
      </c>
      <c r="J123" s="2">
        <v>53916</v>
      </c>
      <c r="K123" s="3">
        <v>264</v>
      </c>
      <c r="L123" s="2" t="s">
        <v>31</v>
      </c>
      <c r="M123" s="2" t="s">
        <v>416</v>
      </c>
      <c r="N123" s="2" t="s">
        <v>416</v>
      </c>
      <c r="O123" s="2" t="s">
        <v>21</v>
      </c>
      <c r="P123" s="12">
        <f t="shared" si="1"/>
        <v>8.0565268065268064E-2</v>
      </c>
    </row>
    <row r="124" spans="1:16" ht="15.75" customHeight="1">
      <c r="A124" s="2" t="s">
        <v>179</v>
      </c>
      <c r="B124" s="2" t="s">
        <v>28</v>
      </c>
      <c r="C124" s="25">
        <v>45457</v>
      </c>
      <c r="D124" s="2" t="s">
        <v>29</v>
      </c>
      <c r="E124" s="2" t="s">
        <v>30</v>
      </c>
      <c r="F124" s="2">
        <v>4363</v>
      </c>
      <c r="G124" s="2">
        <v>649</v>
      </c>
      <c r="H124" s="2">
        <v>140</v>
      </c>
      <c r="I124" s="3">
        <v>21815</v>
      </c>
      <c r="J124" s="2">
        <v>21481</v>
      </c>
      <c r="K124" s="3">
        <v>157</v>
      </c>
      <c r="L124" s="2" t="s">
        <v>31</v>
      </c>
      <c r="M124" s="2" t="s">
        <v>416</v>
      </c>
      <c r="N124" s="2" t="s">
        <v>416</v>
      </c>
      <c r="O124" s="2" t="s">
        <v>17</v>
      </c>
      <c r="P124" s="12">
        <f t="shared" si="1"/>
        <v>0.23616777446710979</v>
      </c>
    </row>
    <row r="125" spans="1:16" ht="15.75" customHeight="1">
      <c r="A125" s="2" t="s">
        <v>180</v>
      </c>
      <c r="B125" s="2" t="s">
        <v>23</v>
      </c>
      <c r="C125" s="25">
        <v>45753</v>
      </c>
      <c r="D125" s="2" t="s">
        <v>38</v>
      </c>
      <c r="E125" s="2" t="s">
        <v>54</v>
      </c>
      <c r="F125" s="2">
        <v>736</v>
      </c>
      <c r="G125" s="2">
        <v>771</v>
      </c>
      <c r="H125" s="2">
        <v>225</v>
      </c>
      <c r="I125" s="3">
        <v>5152</v>
      </c>
      <c r="J125" s="2">
        <v>4706</v>
      </c>
      <c r="K125" s="3">
        <v>19</v>
      </c>
      <c r="L125" s="2" t="s">
        <v>31</v>
      </c>
      <c r="M125" s="2" t="s">
        <v>416</v>
      </c>
      <c r="N125" s="2" t="s">
        <v>416</v>
      </c>
      <c r="O125" s="2" t="s">
        <v>17</v>
      </c>
      <c r="P125" s="12">
        <f t="shared" si="1"/>
        <v>0.33618012422360249</v>
      </c>
    </row>
    <row r="126" spans="1:16" ht="15.75" customHeight="1">
      <c r="A126" s="2" t="s">
        <v>181</v>
      </c>
      <c r="B126" s="2" t="s">
        <v>14</v>
      </c>
      <c r="C126" s="25">
        <v>45543</v>
      </c>
      <c r="D126" s="2" t="s">
        <v>38</v>
      </c>
      <c r="E126" s="2" t="s">
        <v>41</v>
      </c>
      <c r="F126" s="2">
        <v>3811</v>
      </c>
      <c r="G126" s="2">
        <v>866</v>
      </c>
      <c r="H126" s="2">
        <v>216</v>
      </c>
      <c r="I126" s="3">
        <v>34299</v>
      </c>
      <c r="J126" s="2">
        <v>34088</v>
      </c>
      <c r="K126" s="3">
        <v>233</v>
      </c>
      <c r="L126" s="2" t="s">
        <v>25</v>
      </c>
      <c r="M126" s="2" t="s">
        <v>416</v>
      </c>
      <c r="N126" s="2" t="s">
        <v>416</v>
      </c>
      <c r="O126" s="2" t="s">
        <v>32</v>
      </c>
      <c r="P126" s="12">
        <f t="shared" si="1"/>
        <v>0.14265722032712325</v>
      </c>
    </row>
    <row r="127" spans="1:16" ht="15.75" customHeight="1">
      <c r="A127" s="2" t="s">
        <v>182</v>
      </c>
      <c r="B127" s="2" t="s">
        <v>28</v>
      </c>
      <c r="C127" s="25">
        <v>45744</v>
      </c>
      <c r="D127" s="2" t="s">
        <v>38</v>
      </c>
      <c r="E127" s="2" t="s">
        <v>67</v>
      </c>
      <c r="F127" s="2">
        <v>4158</v>
      </c>
      <c r="G127" s="2">
        <v>167</v>
      </c>
      <c r="H127" s="2">
        <v>241</v>
      </c>
      <c r="I127" s="3">
        <v>45738</v>
      </c>
      <c r="J127" s="2">
        <v>45183</v>
      </c>
      <c r="K127" s="3">
        <v>142</v>
      </c>
      <c r="L127" s="2" t="s">
        <v>50</v>
      </c>
      <c r="M127" s="2" t="s">
        <v>416</v>
      </c>
      <c r="N127" s="2" t="s">
        <v>416</v>
      </c>
      <c r="P127" s="12">
        <f t="shared" si="1"/>
        <v>9.9829463465827106E-2</v>
      </c>
    </row>
    <row r="128" spans="1:16" ht="15.75" customHeight="1">
      <c r="A128" s="2" t="s">
        <v>183</v>
      </c>
      <c r="B128" s="2" t="s">
        <v>36</v>
      </c>
      <c r="C128" s="25">
        <v>45684</v>
      </c>
      <c r="D128" s="2" t="s">
        <v>15</v>
      </c>
      <c r="E128" s="2" t="s">
        <v>52</v>
      </c>
      <c r="F128" s="2">
        <v>3452</v>
      </c>
      <c r="G128" s="2">
        <v>652</v>
      </c>
      <c r="H128" s="2">
        <v>442</v>
      </c>
      <c r="I128" s="3">
        <v>65588</v>
      </c>
      <c r="J128" s="2">
        <v>65049</v>
      </c>
      <c r="K128" s="3">
        <v>158</v>
      </c>
      <c r="L128" s="2" t="s">
        <v>50</v>
      </c>
      <c r="M128" s="2" t="s">
        <v>416</v>
      </c>
      <c r="N128" s="2" t="s">
        <v>416</v>
      </c>
      <c r="O128" s="2" t="s">
        <v>26</v>
      </c>
      <c r="P128" s="12">
        <f t="shared" si="1"/>
        <v>6.9311459413307311E-2</v>
      </c>
    </row>
    <row r="129" spans="1:16" ht="15.75" customHeight="1">
      <c r="A129" s="2" t="s">
        <v>184</v>
      </c>
      <c r="B129" s="2" t="s">
        <v>14</v>
      </c>
      <c r="C129" s="25">
        <v>45667</v>
      </c>
      <c r="D129" s="2" t="s">
        <v>43</v>
      </c>
      <c r="E129" s="2" t="s">
        <v>90</v>
      </c>
      <c r="F129" s="2">
        <v>3092</v>
      </c>
      <c r="G129" s="2">
        <v>106</v>
      </c>
      <c r="H129" s="2">
        <v>291</v>
      </c>
      <c r="I129" s="3">
        <v>27828</v>
      </c>
      <c r="J129" s="2">
        <v>27217</v>
      </c>
      <c r="K129" s="3">
        <v>102</v>
      </c>
      <c r="L129" s="2" t="s">
        <v>50</v>
      </c>
      <c r="M129" s="2" t="s">
        <v>416</v>
      </c>
      <c r="N129" s="2" t="s">
        <v>416</v>
      </c>
      <c r="P129" s="12">
        <f t="shared" si="1"/>
        <v>0.12537731780940059</v>
      </c>
    </row>
    <row r="130" spans="1:16" ht="15.75" customHeight="1">
      <c r="A130" s="2" t="s">
        <v>185</v>
      </c>
      <c r="B130" s="2" t="s">
        <v>14</v>
      </c>
      <c r="C130" s="25">
        <v>45494</v>
      </c>
      <c r="D130" s="2" t="s">
        <v>19</v>
      </c>
      <c r="E130" s="2" t="s">
        <v>20</v>
      </c>
      <c r="F130" s="2">
        <v>2147</v>
      </c>
      <c r="G130" s="2">
        <v>430</v>
      </c>
      <c r="H130" s="2">
        <v>393</v>
      </c>
      <c r="I130" s="3">
        <v>17176</v>
      </c>
      <c r="J130" s="2">
        <v>16483</v>
      </c>
      <c r="K130" s="3">
        <v>170</v>
      </c>
      <c r="L130" s="2" t="s">
        <v>25</v>
      </c>
      <c r="M130" s="2" t="s">
        <v>416</v>
      </c>
      <c r="N130" s="2" t="s">
        <v>416</v>
      </c>
      <c r="P130" s="12">
        <f t="shared" si="1"/>
        <v>0.17291569632044715</v>
      </c>
    </row>
    <row r="131" spans="1:16" ht="15.75" customHeight="1">
      <c r="A131" s="2" t="s">
        <v>186</v>
      </c>
      <c r="B131" s="2" t="s">
        <v>23</v>
      </c>
      <c r="C131" s="25">
        <v>45564</v>
      </c>
      <c r="D131" s="2" t="s">
        <v>15</v>
      </c>
      <c r="E131" s="2" t="s">
        <v>24</v>
      </c>
      <c r="F131" s="2">
        <v>2936</v>
      </c>
      <c r="G131" s="2">
        <v>439</v>
      </c>
      <c r="H131" s="2">
        <v>44</v>
      </c>
      <c r="I131" s="3">
        <v>38168</v>
      </c>
      <c r="J131" s="2">
        <v>37571</v>
      </c>
      <c r="K131" s="3">
        <v>22</v>
      </c>
      <c r="L131" s="2" t="s">
        <v>31</v>
      </c>
      <c r="M131" s="2" t="s">
        <v>416</v>
      </c>
      <c r="N131" s="2" t="s">
        <v>416</v>
      </c>
      <c r="O131" s="2" t="s">
        <v>32</v>
      </c>
      <c r="P131" s="12">
        <f t="shared" ref="P131:P194" si="2">(F131+G131+H131)/I131</f>
        <v>8.9577656675749323E-2</v>
      </c>
    </row>
    <row r="132" spans="1:16" ht="15.75" customHeight="1">
      <c r="A132" s="2" t="s">
        <v>187</v>
      </c>
      <c r="B132" s="2" t="s">
        <v>28</v>
      </c>
      <c r="C132" s="25">
        <v>45586</v>
      </c>
      <c r="D132" s="2" t="s">
        <v>15</v>
      </c>
      <c r="E132" s="2" t="s">
        <v>63</v>
      </c>
      <c r="F132" s="2">
        <v>4840</v>
      </c>
      <c r="G132" s="2">
        <v>658</v>
      </c>
      <c r="H132" s="2">
        <v>211</v>
      </c>
      <c r="I132" s="3">
        <v>43560</v>
      </c>
      <c r="J132" s="2">
        <v>43225</v>
      </c>
      <c r="K132" s="3">
        <v>57</v>
      </c>
      <c r="L132" s="2" t="s">
        <v>50</v>
      </c>
      <c r="M132" s="2" t="s">
        <v>416</v>
      </c>
      <c r="N132" s="2" t="s">
        <v>416</v>
      </c>
      <c r="O132" s="2" t="s">
        <v>26</v>
      </c>
      <c r="P132" s="12">
        <f t="shared" si="2"/>
        <v>0.13106060606060607</v>
      </c>
    </row>
    <row r="133" spans="1:16" ht="15.75" customHeight="1">
      <c r="A133" s="2" t="s">
        <v>188</v>
      </c>
      <c r="B133" s="2" t="s">
        <v>28</v>
      </c>
      <c r="C133" s="25">
        <v>45720</v>
      </c>
      <c r="D133" s="2" t="s">
        <v>29</v>
      </c>
      <c r="E133" s="2" t="s">
        <v>30</v>
      </c>
      <c r="F133" s="2">
        <v>1947</v>
      </c>
      <c r="G133" s="2">
        <v>842</v>
      </c>
      <c r="H133" s="2">
        <v>101</v>
      </c>
      <c r="I133" s="3">
        <v>21417</v>
      </c>
      <c r="J133" s="2">
        <v>20967</v>
      </c>
      <c r="K133" s="3">
        <v>186</v>
      </c>
      <c r="L133" s="2" t="s">
        <v>50</v>
      </c>
      <c r="M133" s="2" t="s">
        <v>416</v>
      </c>
      <c r="N133" s="2" t="s">
        <v>416</v>
      </c>
      <c r="O133" s="2" t="s">
        <v>21</v>
      </c>
      <c r="P133" s="12">
        <f t="shared" si="2"/>
        <v>0.13493953401503478</v>
      </c>
    </row>
    <row r="134" spans="1:16" ht="15.75" customHeight="1">
      <c r="A134" s="2" t="s">
        <v>189</v>
      </c>
      <c r="B134" s="2" t="s">
        <v>36</v>
      </c>
      <c r="C134" s="25">
        <v>45694</v>
      </c>
      <c r="D134" s="2" t="s">
        <v>43</v>
      </c>
      <c r="E134" s="2" t="s">
        <v>48</v>
      </c>
      <c r="F134" s="2">
        <v>2072</v>
      </c>
      <c r="G134" s="2">
        <v>532</v>
      </c>
      <c r="H134" s="2">
        <v>71</v>
      </c>
      <c r="I134" s="3">
        <v>37296</v>
      </c>
      <c r="J134" s="2">
        <v>36467</v>
      </c>
      <c r="K134" s="3">
        <v>25</v>
      </c>
      <c r="L134" s="2" t="s">
        <v>25</v>
      </c>
      <c r="M134" s="2" t="s">
        <v>416</v>
      </c>
      <c r="N134" s="2" t="s">
        <v>416</v>
      </c>
      <c r="O134" s="2" t="s">
        <v>32</v>
      </c>
      <c r="P134" s="12">
        <f t="shared" si="2"/>
        <v>7.172350922350923E-2</v>
      </c>
    </row>
    <row r="135" spans="1:16" ht="15.75" customHeight="1">
      <c r="A135" s="2" t="s">
        <v>190</v>
      </c>
      <c r="B135" s="2" t="s">
        <v>14</v>
      </c>
      <c r="C135" s="25">
        <v>45771</v>
      </c>
      <c r="D135" s="2" t="s">
        <v>15</v>
      </c>
      <c r="E135" s="2" t="s">
        <v>16</v>
      </c>
      <c r="F135" s="2">
        <v>3731</v>
      </c>
      <c r="G135" s="2">
        <v>115</v>
      </c>
      <c r="H135" s="2">
        <v>135</v>
      </c>
      <c r="I135" s="3">
        <v>55965</v>
      </c>
      <c r="J135" s="2">
        <v>55436</v>
      </c>
      <c r="K135" s="3">
        <v>103</v>
      </c>
      <c r="L135" s="2" t="s">
        <v>25</v>
      </c>
      <c r="M135" s="2" t="s">
        <v>416</v>
      </c>
      <c r="N135" s="2" t="s">
        <v>416</v>
      </c>
      <c r="O135" s="2" t="s">
        <v>17</v>
      </c>
      <c r="P135" s="12">
        <f t="shared" si="2"/>
        <v>7.1133744304476013E-2</v>
      </c>
    </row>
    <row r="136" spans="1:16" ht="15.75" customHeight="1">
      <c r="A136" s="2" t="s">
        <v>191</v>
      </c>
      <c r="B136" s="2" t="s">
        <v>36</v>
      </c>
      <c r="C136" s="25">
        <v>45624</v>
      </c>
      <c r="D136" s="2" t="s">
        <v>19</v>
      </c>
      <c r="E136" s="2" t="s">
        <v>46</v>
      </c>
      <c r="F136" s="2">
        <v>4213</v>
      </c>
      <c r="G136" s="2">
        <v>253</v>
      </c>
      <c r="H136" s="2">
        <v>434</v>
      </c>
      <c r="I136" s="3">
        <v>75834</v>
      </c>
      <c r="J136" s="2">
        <v>75437</v>
      </c>
      <c r="K136" s="3">
        <v>272</v>
      </c>
      <c r="L136" s="2" t="s">
        <v>50</v>
      </c>
      <c r="M136" s="2" t="s">
        <v>416</v>
      </c>
      <c r="N136" s="2" t="s">
        <v>416</v>
      </c>
      <c r="O136" s="2" t="s">
        <v>32</v>
      </c>
      <c r="P136" s="12">
        <f t="shared" si="2"/>
        <v>6.461481657304112E-2</v>
      </c>
    </row>
    <row r="137" spans="1:16" ht="15.75" customHeight="1">
      <c r="A137" s="2" t="s">
        <v>192</v>
      </c>
      <c r="B137" s="2" t="s">
        <v>28</v>
      </c>
      <c r="C137" s="25">
        <v>45484</v>
      </c>
      <c r="D137" s="2" t="s">
        <v>19</v>
      </c>
      <c r="E137" s="2" t="s">
        <v>80</v>
      </c>
      <c r="F137" s="2">
        <v>3134</v>
      </c>
      <c r="G137" s="2">
        <v>888</v>
      </c>
      <c r="H137" s="2">
        <v>444</v>
      </c>
      <c r="I137" s="3">
        <v>21938</v>
      </c>
      <c r="J137" s="2">
        <v>21337</v>
      </c>
      <c r="K137" s="3">
        <v>130</v>
      </c>
      <c r="L137" s="2" t="s">
        <v>31</v>
      </c>
      <c r="M137" s="2" t="s">
        <v>416</v>
      </c>
      <c r="N137" s="2" t="s">
        <v>416</v>
      </c>
      <c r="O137" s="2" t="s">
        <v>32</v>
      </c>
      <c r="P137" s="12">
        <f t="shared" si="2"/>
        <v>0.20357370772176134</v>
      </c>
    </row>
    <row r="138" spans="1:16" ht="15.75" customHeight="1">
      <c r="A138" s="2" t="s">
        <v>193</v>
      </c>
      <c r="B138" s="2" t="s">
        <v>36</v>
      </c>
      <c r="C138" s="25">
        <v>45504</v>
      </c>
      <c r="D138" s="2" t="s">
        <v>58</v>
      </c>
      <c r="E138" s="2" t="s">
        <v>59</v>
      </c>
      <c r="F138" s="2">
        <v>3008</v>
      </c>
      <c r="G138" s="2">
        <v>94</v>
      </c>
      <c r="H138" s="2">
        <v>37</v>
      </c>
      <c r="I138" s="3">
        <v>15040</v>
      </c>
      <c r="J138" s="2">
        <v>14639</v>
      </c>
      <c r="K138" s="3">
        <v>277</v>
      </c>
      <c r="L138" s="2" t="s">
        <v>50</v>
      </c>
      <c r="M138" s="2" t="s">
        <v>416</v>
      </c>
      <c r="N138" s="2" t="s">
        <v>416</v>
      </c>
      <c r="P138" s="12">
        <f t="shared" si="2"/>
        <v>0.20871010638297871</v>
      </c>
    </row>
    <row r="139" spans="1:16" ht="15.75" customHeight="1">
      <c r="A139" s="2" t="s">
        <v>194</v>
      </c>
      <c r="B139" s="2" t="s">
        <v>14</v>
      </c>
      <c r="C139" s="25">
        <v>45745</v>
      </c>
      <c r="D139" s="2" t="s">
        <v>43</v>
      </c>
      <c r="E139" s="2" t="s">
        <v>90</v>
      </c>
      <c r="F139" s="2">
        <v>305</v>
      </c>
      <c r="G139" s="2">
        <v>187</v>
      </c>
      <c r="H139" s="2">
        <v>243</v>
      </c>
      <c r="I139" s="3">
        <v>4575</v>
      </c>
      <c r="J139" s="2">
        <v>3704</v>
      </c>
      <c r="K139" s="3">
        <v>234</v>
      </c>
      <c r="L139" s="2" t="s">
        <v>50</v>
      </c>
      <c r="M139" s="2" t="s">
        <v>416</v>
      </c>
      <c r="N139" s="2" t="s">
        <v>416</v>
      </c>
      <c r="O139" s="2" t="s">
        <v>26</v>
      </c>
      <c r="P139" s="12">
        <f t="shared" si="2"/>
        <v>0.16065573770491803</v>
      </c>
    </row>
    <row r="140" spans="1:16" ht="15.75" customHeight="1">
      <c r="A140" s="2" t="s">
        <v>195</v>
      </c>
      <c r="B140" s="2" t="s">
        <v>23</v>
      </c>
      <c r="C140" s="25">
        <v>45594</v>
      </c>
      <c r="D140" s="2" t="s">
        <v>19</v>
      </c>
      <c r="E140" s="2" t="s">
        <v>75</v>
      </c>
      <c r="F140" s="2">
        <v>2746</v>
      </c>
      <c r="G140" s="2">
        <v>156</v>
      </c>
      <c r="H140" s="2">
        <v>203</v>
      </c>
      <c r="I140" s="3">
        <v>32952</v>
      </c>
      <c r="J140" s="2">
        <v>32147</v>
      </c>
      <c r="K140" s="3">
        <v>147</v>
      </c>
      <c r="L140" s="2" t="s">
        <v>31</v>
      </c>
      <c r="M140" s="2" t="s">
        <v>416</v>
      </c>
      <c r="N140" s="2" t="s">
        <v>416</v>
      </c>
      <c r="O140" s="2" t="s">
        <v>17</v>
      </c>
      <c r="P140" s="12">
        <f t="shared" si="2"/>
        <v>9.422796795338674E-2</v>
      </c>
    </row>
    <row r="141" spans="1:16" ht="15.75" customHeight="1">
      <c r="A141" s="2" t="s">
        <v>196</v>
      </c>
      <c r="B141" s="2" t="s">
        <v>36</v>
      </c>
      <c r="C141" s="25">
        <v>45488</v>
      </c>
      <c r="D141" s="2" t="s">
        <v>43</v>
      </c>
      <c r="E141" s="2" t="s">
        <v>48</v>
      </c>
      <c r="F141" s="2">
        <v>2291</v>
      </c>
      <c r="G141" s="2">
        <v>78</v>
      </c>
      <c r="H141" s="2">
        <v>485</v>
      </c>
      <c r="I141" s="3">
        <v>18328</v>
      </c>
      <c r="J141" s="2">
        <v>18101</v>
      </c>
      <c r="K141" s="3">
        <v>10</v>
      </c>
      <c r="L141" s="2" t="s">
        <v>31</v>
      </c>
      <c r="M141" s="2" t="s">
        <v>381</v>
      </c>
      <c r="N141" s="2" t="s">
        <v>416</v>
      </c>
      <c r="O141" s="2" t="s">
        <v>21</v>
      </c>
      <c r="P141" s="12">
        <f t="shared" si="2"/>
        <v>0.15571802706241816</v>
      </c>
    </row>
    <row r="142" spans="1:16" ht="15.75" customHeight="1">
      <c r="A142" s="2" t="s">
        <v>198</v>
      </c>
      <c r="B142" s="2" t="s">
        <v>14</v>
      </c>
      <c r="C142" s="25">
        <v>45535</v>
      </c>
      <c r="D142" s="2" t="s">
        <v>43</v>
      </c>
      <c r="E142" s="2" t="s">
        <v>90</v>
      </c>
      <c r="F142" s="2">
        <v>3170</v>
      </c>
      <c r="G142" s="2">
        <v>857</v>
      </c>
      <c r="H142" s="2">
        <v>379</v>
      </c>
      <c r="I142" s="3">
        <v>19020</v>
      </c>
      <c r="J142" s="2">
        <v>18559</v>
      </c>
      <c r="K142" s="3">
        <v>240</v>
      </c>
      <c r="L142" s="2" t="s">
        <v>50</v>
      </c>
      <c r="M142" s="2" t="s">
        <v>416</v>
      </c>
      <c r="N142" s="2" t="s">
        <v>416</v>
      </c>
      <c r="P142" s="12">
        <f t="shared" si="2"/>
        <v>0.2316508937960042</v>
      </c>
    </row>
    <row r="143" spans="1:16" ht="15.75" customHeight="1">
      <c r="A143" s="2" t="s">
        <v>199</v>
      </c>
      <c r="B143" s="2" t="s">
        <v>23</v>
      </c>
      <c r="C143" s="25">
        <v>45741</v>
      </c>
      <c r="D143" s="2" t="s">
        <v>29</v>
      </c>
      <c r="E143" s="2" t="s">
        <v>103</v>
      </c>
      <c r="F143" s="2">
        <v>2070</v>
      </c>
      <c r="G143" s="2">
        <v>275</v>
      </c>
      <c r="H143" s="2">
        <v>386</v>
      </c>
      <c r="I143" s="3">
        <v>39330</v>
      </c>
      <c r="J143" s="2">
        <v>38627</v>
      </c>
      <c r="K143" s="3">
        <v>114</v>
      </c>
      <c r="L143" s="2" t="s">
        <v>50</v>
      </c>
      <c r="M143" s="2" t="s">
        <v>416</v>
      </c>
      <c r="N143" s="2" t="s">
        <v>416</v>
      </c>
      <c r="O143" s="2" t="s">
        <v>32</v>
      </c>
      <c r="P143" s="12">
        <f t="shared" si="2"/>
        <v>6.9438087973557078E-2</v>
      </c>
    </row>
    <row r="144" spans="1:16" ht="15.75" customHeight="1">
      <c r="A144" s="2" t="s">
        <v>200</v>
      </c>
      <c r="B144" s="2" t="s">
        <v>23</v>
      </c>
      <c r="C144" s="25">
        <v>45567</v>
      </c>
      <c r="D144" s="2" t="s">
        <v>38</v>
      </c>
      <c r="E144" s="2" t="s">
        <v>54</v>
      </c>
      <c r="F144" s="2">
        <v>80</v>
      </c>
      <c r="G144" s="2">
        <v>362</v>
      </c>
      <c r="H144" s="2">
        <v>80</v>
      </c>
      <c r="I144" s="3">
        <v>1040</v>
      </c>
      <c r="J144" s="2">
        <v>349</v>
      </c>
      <c r="K144" s="3">
        <v>117</v>
      </c>
      <c r="L144" s="2" t="s">
        <v>25</v>
      </c>
      <c r="M144" s="2" t="s">
        <v>416</v>
      </c>
      <c r="N144" s="2" t="s">
        <v>416</v>
      </c>
      <c r="O144" s="2" t="s">
        <v>26</v>
      </c>
      <c r="P144" s="12">
        <f t="shared" si="2"/>
        <v>0.50192307692307692</v>
      </c>
    </row>
    <row r="145" spans="1:16" ht="15.75" customHeight="1">
      <c r="A145" s="2" t="s">
        <v>201</v>
      </c>
      <c r="B145" s="2" t="s">
        <v>23</v>
      </c>
      <c r="C145" s="25">
        <v>45593</v>
      </c>
      <c r="D145" s="2" t="s">
        <v>29</v>
      </c>
      <c r="E145" s="2" t="s">
        <v>103</v>
      </c>
      <c r="F145" s="2">
        <v>4929</v>
      </c>
      <c r="G145" s="2">
        <v>749</v>
      </c>
      <c r="H145" s="2">
        <v>452</v>
      </c>
      <c r="I145" s="3">
        <v>93651</v>
      </c>
      <c r="J145" s="2">
        <v>92810</v>
      </c>
      <c r="K145" s="3">
        <v>66</v>
      </c>
      <c r="L145" s="2" t="s">
        <v>31</v>
      </c>
      <c r="M145" s="2" t="s">
        <v>416</v>
      </c>
      <c r="N145" s="2" t="s">
        <v>416</v>
      </c>
      <c r="O145" s="2" t="s">
        <v>32</v>
      </c>
      <c r="P145" s="12">
        <f t="shared" si="2"/>
        <v>6.5455787978772245E-2</v>
      </c>
    </row>
    <row r="146" spans="1:16" ht="15.75" customHeight="1">
      <c r="A146" s="2" t="s">
        <v>202</v>
      </c>
      <c r="B146" s="2" t="s">
        <v>28</v>
      </c>
      <c r="C146" s="25">
        <v>45516</v>
      </c>
      <c r="D146" s="2" t="s">
        <v>38</v>
      </c>
      <c r="E146" s="2" t="s">
        <v>67</v>
      </c>
      <c r="F146" s="2">
        <v>1878</v>
      </c>
      <c r="G146" s="2">
        <v>62</v>
      </c>
      <c r="H146" s="2">
        <v>179</v>
      </c>
      <c r="I146" s="3">
        <v>37560</v>
      </c>
      <c r="J146" s="2">
        <v>36874</v>
      </c>
      <c r="K146" s="3">
        <v>142</v>
      </c>
      <c r="L146" s="2" t="s">
        <v>25</v>
      </c>
      <c r="M146" s="2" t="s">
        <v>416</v>
      </c>
      <c r="N146" s="2" t="s">
        <v>416</v>
      </c>
      <c r="O146" s="2" t="s">
        <v>32</v>
      </c>
      <c r="P146" s="12">
        <f t="shared" si="2"/>
        <v>5.6416400425985093E-2</v>
      </c>
    </row>
    <row r="147" spans="1:16" ht="15.75" customHeight="1">
      <c r="A147" s="2" t="s">
        <v>203</v>
      </c>
      <c r="B147" s="2" t="s">
        <v>23</v>
      </c>
      <c r="C147" s="25">
        <v>45448</v>
      </c>
      <c r="D147" s="2" t="s">
        <v>15</v>
      </c>
      <c r="E147" s="2" t="s">
        <v>24</v>
      </c>
      <c r="F147" s="2">
        <v>3065</v>
      </c>
      <c r="G147" s="2">
        <v>772</v>
      </c>
      <c r="H147" s="2">
        <v>142</v>
      </c>
      <c r="I147" s="3">
        <v>18390</v>
      </c>
      <c r="J147" s="2">
        <v>17875</v>
      </c>
      <c r="K147" s="3">
        <v>200</v>
      </c>
      <c r="L147" s="2" t="s">
        <v>31</v>
      </c>
      <c r="M147" s="2" t="s">
        <v>386</v>
      </c>
      <c r="N147" s="2" t="s">
        <v>416</v>
      </c>
      <c r="P147" s="12">
        <f t="shared" si="2"/>
        <v>0.21636759108210984</v>
      </c>
    </row>
    <row r="148" spans="1:16" ht="15.75" customHeight="1">
      <c r="A148" s="2" t="s">
        <v>204</v>
      </c>
      <c r="B148" s="2" t="s">
        <v>28</v>
      </c>
      <c r="C148" s="25">
        <v>45586</v>
      </c>
      <c r="D148" s="2" t="s">
        <v>15</v>
      </c>
      <c r="E148" s="2" t="s">
        <v>63</v>
      </c>
      <c r="F148" s="2">
        <v>3256</v>
      </c>
      <c r="G148" s="2">
        <v>459</v>
      </c>
      <c r="H148" s="2">
        <v>266</v>
      </c>
      <c r="I148" s="3">
        <v>26048</v>
      </c>
      <c r="J148" s="2">
        <v>25529</v>
      </c>
      <c r="K148" s="3">
        <v>143</v>
      </c>
      <c r="L148" s="2" t="s">
        <v>25</v>
      </c>
      <c r="M148" s="2" t="s">
        <v>416</v>
      </c>
      <c r="N148" s="2" t="s">
        <v>416</v>
      </c>
      <c r="O148" s="2" t="s">
        <v>21</v>
      </c>
      <c r="P148" s="12">
        <f t="shared" si="2"/>
        <v>0.15283323095823095</v>
      </c>
    </row>
    <row r="149" spans="1:16" ht="15.75" customHeight="1">
      <c r="A149" s="2" t="s">
        <v>205</v>
      </c>
      <c r="B149" s="2" t="s">
        <v>28</v>
      </c>
      <c r="C149" s="25">
        <v>45762</v>
      </c>
      <c r="D149" s="2" t="s">
        <v>58</v>
      </c>
      <c r="E149" s="2" t="s">
        <v>65</v>
      </c>
      <c r="F149" s="2">
        <v>4133</v>
      </c>
      <c r="G149" s="2">
        <v>466</v>
      </c>
      <c r="H149" s="2">
        <v>327</v>
      </c>
      <c r="I149" s="3">
        <v>24798</v>
      </c>
      <c r="J149" s="2">
        <v>24620</v>
      </c>
      <c r="K149" s="3">
        <v>176</v>
      </c>
      <c r="L149" s="2" t="s">
        <v>31</v>
      </c>
      <c r="M149" s="2" t="s">
        <v>416</v>
      </c>
      <c r="N149" s="2" t="s">
        <v>416</v>
      </c>
      <c r="O149" s="2" t="s">
        <v>32</v>
      </c>
      <c r="P149" s="12">
        <f t="shared" si="2"/>
        <v>0.19864505202032423</v>
      </c>
    </row>
    <row r="150" spans="1:16" ht="15.75" customHeight="1">
      <c r="A150" s="2" t="s">
        <v>206</v>
      </c>
      <c r="B150" s="2" t="s">
        <v>14</v>
      </c>
      <c r="C150" s="25">
        <v>45459</v>
      </c>
      <c r="D150" s="2" t="s">
        <v>58</v>
      </c>
      <c r="E150" s="2" t="s">
        <v>97</v>
      </c>
      <c r="F150" s="2">
        <v>1702</v>
      </c>
      <c r="G150" s="2">
        <v>750</v>
      </c>
      <c r="H150" s="2">
        <v>179</v>
      </c>
      <c r="I150" s="3">
        <v>34040</v>
      </c>
      <c r="J150" s="2">
        <v>33174</v>
      </c>
      <c r="K150" s="3">
        <v>76</v>
      </c>
      <c r="L150" s="2" t="s">
        <v>31</v>
      </c>
      <c r="M150" s="2" t="s">
        <v>416</v>
      </c>
      <c r="N150" s="2" t="s">
        <v>416</v>
      </c>
      <c r="O150" s="2" t="s">
        <v>17</v>
      </c>
      <c r="P150" s="12">
        <f t="shared" si="2"/>
        <v>7.7291421856639245E-2</v>
      </c>
    </row>
    <row r="151" spans="1:16" ht="15.75" customHeight="1">
      <c r="A151" s="2" t="s">
        <v>207</v>
      </c>
      <c r="B151" s="2" t="s">
        <v>23</v>
      </c>
      <c r="C151" s="25">
        <v>45526</v>
      </c>
      <c r="D151" s="2" t="s">
        <v>38</v>
      </c>
      <c r="E151" s="2" t="s">
        <v>54</v>
      </c>
      <c r="F151" s="2">
        <v>4295</v>
      </c>
      <c r="G151" s="2">
        <v>853</v>
      </c>
      <c r="H151" s="2">
        <v>325</v>
      </c>
      <c r="I151" s="3">
        <v>85900</v>
      </c>
      <c r="J151" s="2">
        <v>85788</v>
      </c>
      <c r="K151" s="3">
        <v>290</v>
      </c>
      <c r="L151" s="2" t="s">
        <v>25</v>
      </c>
      <c r="M151" s="2" t="s">
        <v>416</v>
      </c>
      <c r="N151" s="2" t="s">
        <v>416</v>
      </c>
      <c r="O151" s="2" t="s">
        <v>32</v>
      </c>
      <c r="P151" s="12">
        <f t="shared" si="2"/>
        <v>6.3713620488940623E-2</v>
      </c>
    </row>
    <row r="152" spans="1:16" ht="15.75" customHeight="1">
      <c r="A152" s="2" t="s">
        <v>208</v>
      </c>
      <c r="B152" s="2" t="s">
        <v>28</v>
      </c>
      <c r="C152" s="25">
        <v>45499</v>
      </c>
      <c r="D152" s="2" t="s">
        <v>43</v>
      </c>
      <c r="E152" s="2" t="s">
        <v>136</v>
      </c>
      <c r="F152" s="2">
        <v>3559</v>
      </c>
      <c r="G152" s="2">
        <v>59</v>
      </c>
      <c r="H152" s="2">
        <v>289</v>
      </c>
      <c r="I152" s="3">
        <v>35590</v>
      </c>
      <c r="J152" s="2">
        <v>35105</v>
      </c>
      <c r="K152" s="3">
        <v>122</v>
      </c>
      <c r="L152" s="2" t="s">
        <v>31</v>
      </c>
      <c r="M152" s="2" t="s">
        <v>416</v>
      </c>
      <c r="N152" s="2" t="s">
        <v>416</v>
      </c>
      <c r="O152" s="2" t="s">
        <v>17</v>
      </c>
      <c r="P152" s="12">
        <f t="shared" si="2"/>
        <v>0.10977802753582468</v>
      </c>
    </row>
    <row r="153" spans="1:16" ht="15.75" customHeight="1">
      <c r="A153" s="2" t="s">
        <v>209</v>
      </c>
      <c r="B153" s="2" t="s">
        <v>36</v>
      </c>
      <c r="C153" s="25">
        <v>45769</v>
      </c>
      <c r="D153" s="2" t="s">
        <v>43</v>
      </c>
      <c r="E153" s="2" t="s">
        <v>48</v>
      </c>
      <c r="F153" s="2">
        <v>4804</v>
      </c>
      <c r="G153" s="2">
        <v>550</v>
      </c>
      <c r="H153" s="2">
        <v>270</v>
      </c>
      <c r="I153" s="3">
        <v>28824</v>
      </c>
      <c r="J153" s="2">
        <v>28370</v>
      </c>
      <c r="K153" s="3">
        <v>47</v>
      </c>
      <c r="L153" s="2" t="s">
        <v>31</v>
      </c>
      <c r="M153" s="2" t="s">
        <v>416</v>
      </c>
      <c r="N153" s="2" t="s">
        <v>416</v>
      </c>
      <c r="O153" s="2" t="s">
        <v>32</v>
      </c>
      <c r="P153" s="12">
        <f t="shared" si="2"/>
        <v>0.19511518179295032</v>
      </c>
    </row>
    <row r="154" spans="1:16" ht="15.75" customHeight="1">
      <c r="A154" s="2" t="s">
        <v>210</v>
      </c>
      <c r="B154" s="2" t="s">
        <v>14</v>
      </c>
      <c r="C154" s="25">
        <v>45658</v>
      </c>
      <c r="D154" s="2" t="s">
        <v>58</v>
      </c>
      <c r="E154" s="2" t="s">
        <v>97</v>
      </c>
      <c r="F154" s="2">
        <v>754</v>
      </c>
      <c r="G154" s="2">
        <v>197</v>
      </c>
      <c r="H154" s="2">
        <v>257</v>
      </c>
      <c r="I154" s="3">
        <v>6786</v>
      </c>
      <c r="J154" s="2">
        <v>6221</v>
      </c>
      <c r="K154" s="3">
        <v>212</v>
      </c>
      <c r="L154" s="2" t="s">
        <v>25</v>
      </c>
      <c r="M154" s="2" t="s">
        <v>416</v>
      </c>
      <c r="N154" s="2" t="s">
        <v>416</v>
      </c>
      <c r="O154" s="2" t="s">
        <v>26</v>
      </c>
      <c r="P154" s="12">
        <f t="shared" si="2"/>
        <v>0.17801355732390214</v>
      </c>
    </row>
    <row r="155" spans="1:16" ht="15.75" customHeight="1">
      <c r="A155" s="2" t="s">
        <v>211</v>
      </c>
      <c r="B155" s="2" t="s">
        <v>28</v>
      </c>
      <c r="C155" s="25">
        <v>45574</v>
      </c>
      <c r="D155" s="2" t="s">
        <v>38</v>
      </c>
      <c r="E155" s="2" t="s">
        <v>67</v>
      </c>
      <c r="F155" s="2">
        <v>985</v>
      </c>
      <c r="G155" s="2">
        <v>932</v>
      </c>
      <c r="H155" s="2">
        <v>287</v>
      </c>
      <c r="I155" s="3">
        <v>6895</v>
      </c>
      <c r="J155" s="2">
        <v>6757</v>
      </c>
      <c r="K155" s="3">
        <v>64</v>
      </c>
      <c r="L155" s="2" t="s">
        <v>50</v>
      </c>
      <c r="M155" s="2" t="s">
        <v>416</v>
      </c>
      <c r="N155" s="2" t="s">
        <v>416</v>
      </c>
      <c r="O155" s="2" t="s">
        <v>32</v>
      </c>
      <c r="P155" s="12">
        <f t="shared" si="2"/>
        <v>0.31965192168237855</v>
      </c>
    </row>
    <row r="156" spans="1:16" ht="15.75" customHeight="1">
      <c r="A156" s="2" t="s">
        <v>212</v>
      </c>
      <c r="B156" s="2" t="s">
        <v>23</v>
      </c>
      <c r="C156" s="25">
        <v>45647</v>
      </c>
      <c r="D156" s="2" t="s">
        <v>43</v>
      </c>
      <c r="E156" s="2" t="s">
        <v>44</v>
      </c>
      <c r="F156" s="2">
        <v>2283</v>
      </c>
      <c r="G156" s="2">
        <v>210</v>
      </c>
      <c r="H156" s="2">
        <v>130</v>
      </c>
      <c r="I156" s="3">
        <v>22830</v>
      </c>
      <c r="J156" s="2">
        <v>22617</v>
      </c>
      <c r="K156" s="3">
        <v>143</v>
      </c>
      <c r="L156" s="2" t="s">
        <v>50</v>
      </c>
      <c r="M156" s="2" t="s">
        <v>416</v>
      </c>
      <c r="N156" s="2" t="s">
        <v>416</v>
      </c>
      <c r="O156" s="2" t="s">
        <v>21</v>
      </c>
      <c r="P156" s="12">
        <f t="shared" si="2"/>
        <v>0.11489268506351293</v>
      </c>
    </row>
    <row r="157" spans="1:16" ht="15.75" customHeight="1">
      <c r="A157" s="2" t="s">
        <v>213</v>
      </c>
      <c r="B157" s="2" t="s">
        <v>36</v>
      </c>
      <c r="C157" s="25">
        <v>45587</v>
      </c>
      <c r="D157" s="2" t="s">
        <v>38</v>
      </c>
      <c r="E157" s="2" t="s">
        <v>39</v>
      </c>
      <c r="F157" s="2">
        <v>3352</v>
      </c>
      <c r="G157" s="2">
        <v>941</v>
      </c>
      <c r="H157" s="2">
        <v>482</v>
      </c>
      <c r="I157" s="3">
        <v>43576</v>
      </c>
      <c r="J157" s="2">
        <v>43338</v>
      </c>
      <c r="K157" s="3">
        <v>240</v>
      </c>
      <c r="L157" s="2" t="s">
        <v>50</v>
      </c>
      <c r="M157" s="2" t="s">
        <v>416</v>
      </c>
      <c r="N157" s="2" t="s">
        <v>416</v>
      </c>
      <c r="O157" s="2" t="s">
        <v>21</v>
      </c>
      <c r="P157" s="12">
        <f t="shared" si="2"/>
        <v>0.1095786671562328</v>
      </c>
    </row>
    <row r="158" spans="1:16" ht="15.75" customHeight="1">
      <c r="A158" s="2" t="s">
        <v>214</v>
      </c>
      <c r="B158" s="2" t="s">
        <v>23</v>
      </c>
      <c r="C158" s="25">
        <v>45496</v>
      </c>
      <c r="D158" s="2" t="s">
        <v>29</v>
      </c>
      <c r="E158" s="2" t="s">
        <v>103</v>
      </c>
      <c r="F158" s="2">
        <v>4775</v>
      </c>
      <c r="G158" s="2">
        <v>173</v>
      </c>
      <c r="H158" s="2">
        <v>206</v>
      </c>
      <c r="I158" s="3">
        <v>47750</v>
      </c>
      <c r="J158" s="2">
        <v>47544</v>
      </c>
      <c r="K158" s="3">
        <v>187</v>
      </c>
      <c r="L158" s="2" t="s">
        <v>50</v>
      </c>
      <c r="M158" s="2" t="s">
        <v>416</v>
      </c>
      <c r="N158" s="2" t="s">
        <v>416</v>
      </c>
      <c r="O158" s="2" t="s">
        <v>21</v>
      </c>
      <c r="P158" s="12">
        <f t="shared" si="2"/>
        <v>0.10793717277486911</v>
      </c>
    </row>
    <row r="159" spans="1:16" ht="15.75" customHeight="1">
      <c r="A159" s="2" t="s">
        <v>215</v>
      </c>
      <c r="B159" s="2" t="s">
        <v>28</v>
      </c>
      <c r="C159" s="25">
        <v>45515</v>
      </c>
      <c r="D159" s="2" t="s">
        <v>29</v>
      </c>
      <c r="E159" s="2" t="s">
        <v>30</v>
      </c>
      <c r="F159" s="2">
        <v>1762</v>
      </c>
      <c r="G159" s="2">
        <v>405</v>
      </c>
      <c r="H159" s="2">
        <v>423</v>
      </c>
      <c r="I159" s="3">
        <v>22906</v>
      </c>
      <c r="J159" s="2">
        <v>21925</v>
      </c>
      <c r="K159" s="3">
        <v>25</v>
      </c>
      <c r="L159" s="2" t="s">
        <v>25</v>
      </c>
      <c r="M159" s="2" t="s">
        <v>416</v>
      </c>
      <c r="N159" s="2" t="s">
        <v>416</v>
      </c>
      <c r="O159" s="2" t="s">
        <v>17</v>
      </c>
      <c r="P159" s="12">
        <f t="shared" si="2"/>
        <v>0.11307081114118571</v>
      </c>
    </row>
    <row r="160" spans="1:16" ht="15.75" customHeight="1">
      <c r="A160" s="2" t="s">
        <v>216</v>
      </c>
      <c r="B160" s="2" t="s">
        <v>36</v>
      </c>
      <c r="C160" s="25">
        <v>45621</v>
      </c>
      <c r="D160" s="2" t="s">
        <v>29</v>
      </c>
      <c r="E160" s="2" t="s">
        <v>56</v>
      </c>
      <c r="F160" s="2">
        <v>2120</v>
      </c>
      <c r="G160" s="2">
        <v>158</v>
      </c>
      <c r="H160" s="2">
        <v>488</v>
      </c>
      <c r="I160" s="3">
        <v>12720</v>
      </c>
      <c r="J160" s="2">
        <v>12085</v>
      </c>
      <c r="K160" s="3">
        <v>17</v>
      </c>
      <c r="L160" s="2" t="s">
        <v>50</v>
      </c>
      <c r="M160" s="2" t="s">
        <v>416</v>
      </c>
      <c r="N160" s="2" t="s">
        <v>416</v>
      </c>
      <c r="O160" s="2" t="s">
        <v>21</v>
      </c>
      <c r="P160" s="12">
        <f t="shared" si="2"/>
        <v>0.21745283018867925</v>
      </c>
    </row>
    <row r="161" spans="1:16" ht="15.75" customHeight="1">
      <c r="A161" s="2" t="s">
        <v>217</v>
      </c>
      <c r="B161" s="2" t="s">
        <v>14</v>
      </c>
      <c r="C161" s="25">
        <v>45528</v>
      </c>
      <c r="D161" s="2" t="s">
        <v>58</v>
      </c>
      <c r="E161" s="2" t="s">
        <v>97</v>
      </c>
      <c r="F161" s="2">
        <v>1082</v>
      </c>
      <c r="G161" s="2">
        <v>209</v>
      </c>
      <c r="H161" s="2">
        <v>484</v>
      </c>
      <c r="I161" s="3">
        <v>19476</v>
      </c>
      <c r="J161" s="2">
        <v>18654</v>
      </c>
      <c r="K161" s="3">
        <v>20</v>
      </c>
      <c r="L161" s="2" t="s">
        <v>25</v>
      </c>
      <c r="M161" s="2" t="s">
        <v>416</v>
      </c>
      <c r="N161" s="2" t="s">
        <v>416</v>
      </c>
      <c r="P161" s="12">
        <f t="shared" si="2"/>
        <v>9.1137810638734856E-2</v>
      </c>
    </row>
    <row r="162" spans="1:16" ht="15.75" customHeight="1">
      <c r="A162" s="2" t="s">
        <v>218</v>
      </c>
      <c r="B162" s="2" t="s">
        <v>14</v>
      </c>
      <c r="C162" s="25">
        <v>45707</v>
      </c>
      <c r="D162" s="2" t="s">
        <v>19</v>
      </c>
      <c r="E162" s="2" t="s">
        <v>20</v>
      </c>
      <c r="F162" s="2">
        <v>4671</v>
      </c>
      <c r="G162" s="2">
        <v>876</v>
      </c>
      <c r="H162" s="2">
        <v>366</v>
      </c>
      <c r="I162" s="3">
        <v>51381</v>
      </c>
      <c r="J162" s="2">
        <v>50565</v>
      </c>
      <c r="K162" s="3">
        <v>245</v>
      </c>
      <c r="L162" s="2" t="s">
        <v>25</v>
      </c>
      <c r="M162" s="2" t="s">
        <v>416</v>
      </c>
      <c r="N162" s="2" t="s">
        <v>416</v>
      </c>
      <c r="O162" s="2" t="s">
        <v>32</v>
      </c>
      <c r="P162" s="12">
        <f t="shared" si="2"/>
        <v>0.11508145034156594</v>
      </c>
    </row>
    <row r="163" spans="1:16" ht="15.75" customHeight="1">
      <c r="A163" s="2" t="s">
        <v>219</v>
      </c>
      <c r="B163" s="2" t="s">
        <v>36</v>
      </c>
      <c r="C163" s="25">
        <v>45748</v>
      </c>
      <c r="D163" s="2" t="s">
        <v>29</v>
      </c>
      <c r="E163" s="2" t="s">
        <v>56</v>
      </c>
      <c r="F163" s="2">
        <v>3430</v>
      </c>
      <c r="G163" s="2">
        <v>566</v>
      </c>
      <c r="H163" s="2">
        <v>164</v>
      </c>
      <c r="I163" s="3">
        <v>48020</v>
      </c>
      <c r="J163" s="2">
        <v>47305</v>
      </c>
      <c r="K163" s="3">
        <v>120</v>
      </c>
      <c r="L163" s="2" t="s">
        <v>50</v>
      </c>
      <c r="M163" s="2" t="s">
        <v>416</v>
      </c>
      <c r="N163" s="2" t="s">
        <v>416</v>
      </c>
      <c r="P163" s="12">
        <f t="shared" si="2"/>
        <v>8.6630570595585168E-2</v>
      </c>
    </row>
    <row r="164" spans="1:16" ht="15.75" customHeight="1">
      <c r="A164" s="2" t="s">
        <v>220</v>
      </c>
      <c r="B164" s="2" t="s">
        <v>28</v>
      </c>
      <c r="C164" s="25">
        <v>45755</v>
      </c>
      <c r="D164" s="2" t="s">
        <v>43</v>
      </c>
      <c r="E164" s="2" t="s">
        <v>136</v>
      </c>
      <c r="F164" s="2">
        <v>4501</v>
      </c>
      <c r="G164" s="2">
        <v>375</v>
      </c>
      <c r="H164" s="2">
        <v>323</v>
      </c>
      <c r="I164" s="3">
        <v>22505</v>
      </c>
      <c r="J164" s="2">
        <v>21836</v>
      </c>
      <c r="K164" s="3">
        <v>132</v>
      </c>
      <c r="L164" s="2" t="s">
        <v>25</v>
      </c>
      <c r="M164" s="2" t="s">
        <v>416</v>
      </c>
      <c r="N164" s="2" t="s">
        <v>416</v>
      </c>
      <c r="O164" s="2" t="s">
        <v>21</v>
      </c>
      <c r="P164" s="12">
        <f t="shared" si="2"/>
        <v>0.23101532992668297</v>
      </c>
    </row>
    <row r="165" spans="1:16" ht="15.75" customHeight="1">
      <c r="A165" s="2" t="s">
        <v>221</v>
      </c>
      <c r="B165" s="2" t="s">
        <v>23</v>
      </c>
      <c r="C165" s="25">
        <v>45715</v>
      </c>
      <c r="D165" s="2" t="s">
        <v>19</v>
      </c>
      <c r="E165" s="2" t="s">
        <v>75</v>
      </c>
      <c r="F165" s="2">
        <v>4934</v>
      </c>
      <c r="G165" s="2">
        <v>971</v>
      </c>
      <c r="H165" s="2">
        <v>156</v>
      </c>
      <c r="I165" s="3">
        <v>39472</v>
      </c>
      <c r="J165" s="2">
        <v>39025</v>
      </c>
      <c r="K165" s="3">
        <v>169</v>
      </c>
      <c r="L165" s="2" t="s">
        <v>25</v>
      </c>
      <c r="M165" s="2" t="s">
        <v>386</v>
      </c>
      <c r="N165" s="2" t="s">
        <v>416</v>
      </c>
      <c r="O165" s="2" t="s">
        <v>32</v>
      </c>
      <c r="P165" s="12">
        <f t="shared" si="2"/>
        <v>0.15355188488042157</v>
      </c>
    </row>
    <row r="166" spans="1:16" ht="15.75" customHeight="1">
      <c r="A166" s="2" t="s">
        <v>222</v>
      </c>
      <c r="B166" s="2" t="s">
        <v>14</v>
      </c>
      <c r="C166" s="25">
        <v>45637</v>
      </c>
      <c r="D166" s="2" t="s">
        <v>19</v>
      </c>
      <c r="E166" s="2" t="s">
        <v>20</v>
      </c>
      <c r="F166" s="2">
        <v>3239</v>
      </c>
      <c r="G166" s="2">
        <v>43</v>
      </c>
      <c r="H166" s="2">
        <v>211</v>
      </c>
      <c r="I166" s="3">
        <v>22673</v>
      </c>
      <c r="J166" s="2">
        <v>22171</v>
      </c>
      <c r="K166" s="3">
        <v>230</v>
      </c>
      <c r="L166" s="2" t="s">
        <v>25</v>
      </c>
      <c r="M166" s="2" t="s">
        <v>416</v>
      </c>
      <c r="N166" s="2" t="s">
        <v>416</v>
      </c>
      <c r="O166" s="2" t="s">
        <v>21</v>
      </c>
      <c r="P166" s="12">
        <f t="shared" si="2"/>
        <v>0.15405989502933004</v>
      </c>
    </row>
    <row r="167" spans="1:16" ht="15.75" customHeight="1">
      <c r="A167" s="2" t="s">
        <v>223</v>
      </c>
      <c r="B167" s="2" t="s">
        <v>14</v>
      </c>
      <c r="C167" s="25">
        <v>45704</v>
      </c>
      <c r="D167" s="2" t="s">
        <v>15</v>
      </c>
      <c r="E167" s="2" t="s">
        <v>16</v>
      </c>
      <c r="F167" s="2">
        <v>1076</v>
      </c>
      <c r="G167" s="2">
        <v>313</v>
      </c>
      <c r="H167" s="2">
        <v>306</v>
      </c>
      <c r="I167" s="3">
        <v>11836</v>
      </c>
      <c r="J167" s="2">
        <v>11596</v>
      </c>
      <c r="K167" s="3">
        <v>104</v>
      </c>
      <c r="L167" s="2" t="s">
        <v>50</v>
      </c>
      <c r="M167" s="2" t="s">
        <v>416</v>
      </c>
      <c r="N167" s="2" t="s">
        <v>416</v>
      </c>
      <c r="O167" s="2" t="s">
        <v>17</v>
      </c>
      <c r="P167" s="12">
        <f t="shared" si="2"/>
        <v>0.14320716458262928</v>
      </c>
    </row>
    <row r="168" spans="1:16" ht="15.75" customHeight="1">
      <c r="A168" s="2" t="s">
        <v>224</v>
      </c>
      <c r="B168" s="2" t="s">
        <v>28</v>
      </c>
      <c r="C168" s="25">
        <v>45624</v>
      </c>
      <c r="D168" s="2" t="s">
        <v>19</v>
      </c>
      <c r="E168" s="2" t="s">
        <v>80</v>
      </c>
      <c r="F168" s="2">
        <v>4771</v>
      </c>
      <c r="G168" s="2">
        <v>818</v>
      </c>
      <c r="H168" s="2">
        <v>56</v>
      </c>
      <c r="I168" s="3">
        <v>57252</v>
      </c>
      <c r="J168" s="2">
        <v>56378</v>
      </c>
      <c r="K168" s="3">
        <v>150</v>
      </c>
      <c r="L168" s="2" t="s">
        <v>50</v>
      </c>
      <c r="M168" s="2" t="s">
        <v>416</v>
      </c>
      <c r="N168" s="2" t="s">
        <v>416</v>
      </c>
      <c r="P168" s="12">
        <f t="shared" si="2"/>
        <v>9.859917557465242E-2</v>
      </c>
    </row>
    <row r="169" spans="1:16" ht="15.75" customHeight="1">
      <c r="A169" s="2" t="s">
        <v>225</v>
      </c>
      <c r="B169" s="2" t="s">
        <v>36</v>
      </c>
      <c r="C169" s="25">
        <v>45608</v>
      </c>
      <c r="D169" s="2" t="s">
        <v>19</v>
      </c>
      <c r="E169" s="2" t="s">
        <v>46</v>
      </c>
      <c r="F169" s="2">
        <v>2418</v>
      </c>
      <c r="G169" s="2">
        <v>754</v>
      </c>
      <c r="H169" s="2">
        <v>54</v>
      </c>
      <c r="I169" s="3">
        <v>43524</v>
      </c>
      <c r="J169" s="2">
        <v>42743</v>
      </c>
      <c r="K169" s="3">
        <v>182</v>
      </c>
      <c r="L169" s="2" t="s">
        <v>31</v>
      </c>
      <c r="M169" s="2" t="s">
        <v>416</v>
      </c>
      <c r="N169" s="2" t="s">
        <v>416</v>
      </c>
      <c r="O169" s="2" t="s">
        <v>17</v>
      </c>
      <c r="P169" s="12">
        <f t="shared" si="2"/>
        <v>7.412002573292896E-2</v>
      </c>
    </row>
    <row r="170" spans="1:16" ht="15.75" customHeight="1">
      <c r="A170" s="2" t="s">
        <v>226</v>
      </c>
      <c r="B170" s="2" t="s">
        <v>23</v>
      </c>
      <c r="C170" s="25">
        <v>45629</v>
      </c>
      <c r="D170" s="2" t="s">
        <v>58</v>
      </c>
      <c r="E170" s="2" t="s">
        <v>138</v>
      </c>
      <c r="F170" s="2">
        <v>3809</v>
      </c>
      <c r="G170" s="2">
        <v>273</v>
      </c>
      <c r="H170" s="2">
        <v>200</v>
      </c>
      <c r="I170" s="3">
        <v>34281</v>
      </c>
      <c r="J170" s="2">
        <v>33534</v>
      </c>
      <c r="K170" s="3">
        <v>83</v>
      </c>
      <c r="L170" s="2" t="s">
        <v>31</v>
      </c>
      <c r="M170" s="2" t="s">
        <v>416</v>
      </c>
      <c r="N170" s="2" t="s">
        <v>416</v>
      </c>
      <c r="O170" s="2" t="s">
        <v>17</v>
      </c>
      <c r="P170" s="12">
        <f t="shared" si="2"/>
        <v>0.12490884163239112</v>
      </c>
    </row>
    <row r="171" spans="1:16" ht="15.75" customHeight="1">
      <c r="A171" s="2" t="s">
        <v>227</v>
      </c>
      <c r="B171" s="2" t="s">
        <v>14</v>
      </c>
      <c r="C171" s="25">
        <v>45775</v>
      </c>
      <c r="D171" s="2" t="s">
        <v>19</v>
      </c>
      <c r="E171" s="2" t="s">
        <v>20</v>
      </c>
      <c r="F171" s="2">
        <v>3577</v>
      </c>
      <c r="G171" s="2">
        <v>596</v>
      </c>
      <c r="H171" s="2">
        <v>493</v>
      </c>
      <c r="I171" s="3">
        <v>67963</v>
      </c>
      <c r="J171" s="2">
        <v>67839</v>
      </c>
      <c r="K171" s="3">
        <v>53</v>
      </c>
      <c r="L171" s="2" t="s">
        <v>25</v>
      </c>
      <c r="M171" s="2" t="s">
        <v>416</v>
      </c>
      <c r="N171" s="2" t="s">
        <v>416</v>
      </c>
      <c r="O171" s="2" t="s">
        <v>26</v>
      </c>
      <c r="P171" s="12">
        <f t="shared" si="2"/>
        <v>6.8655003457763777E-2</v>
      </c>
    </row>
    <row r="172" spans="1:16" ht="15.75" customHeight="1">
      <c r="A172" s="2" t="s">
        <v>228</v>
      </c>
      <c r="B172" s="2" t="s">
        <v>23</v>
      </c>
      <c r="C172" s="25">
        <v>45657</v>
      </c>
      <c r="D172" s="2" t="s">
        <v>58</v>
      </c>
      <c r="E172" s="2" t="s">
        <v>138</v>
      </c>
      <c r="F172" s="2">
        <v>1018</v>
      </c>
      <c r="G172" s="2">
        <v>447</v>
      </c>
      <c r="H172" s="2">
        <v>332</v>
      </c>
      <c r="I172" s="3">
        <v>18324</v>
      </c>
      <c r="J172" s="2">
        <v>18164</v>
      </c>
      <c r="K172" s="3">
        <v>38</v>
      </c>
      <c r="L172" s="2" t="s">
        <v>50</v>
      </c>
      <c r="M172" s="2" t="s">
        <v>416</v>
      </c>
      <c r="N172" s="2" t="s">
        <v>416</v>
      </c>
      <c r="O172" s="2" t="s">
        <v>21</v>
      </c>
      <c r="P172" s="12">
        <f t="shared" si="2"/>
        <v>9.8068107400130972E-2</v>
      </c>
    </row>
    <row r="173" spans="1:16" ht="15.75" customHeight="1">
      <c r="A173" s="2" t="s">
        <v>229</v>
      </c>
      <c r="B173" s="2" t="s">
        <v>36</v>
      </c>
      <c r="C173" s="25">
        <v>45518</v>
      </c>
      <c r="D173" s="2" t="s">
        <v>38</v>
      </c>
      <c r="E173" s="2" t="s">
        <v>39</v>
      </c>
      <c r="F173" s="2">
        <v>3073</v>
      </c>
      <c r="G173" s="2">
        <v>553</v>
      </c>
      <c r="H173" s="2">
        <v>174</v>
      </c>
      <c r="I173" s="3">
        <v>52241</v>
      </c>
      <c r="J173" s="2">
        <v>51605</v>
      </c>
      <c r="K173" s="3">
        <v>246</v>
      </c>
      <c r="L173" s="2" t="s">
        <v>31</v>
      </c>
      <c r="M173" s="2" t="s">
        <v>416</v>
      </c>
      <c r="N173" s="2" t="s">
        <v>416</v>
      </c>
      <c r="O173" s="2" t="s">
        <v>26</v>
      </c>
      <c r="P173" s="12">
        <f t="shared" si="2"/>
        <v>7.2739802071170159E-2</v>
      </c>
    </row>
    <row r="174" spans="1:16" ht="15.75" customHeight="1">
      <c r="A174" s="2" t="s">
        <v>230</v>
      </c>
      <c r="B174" s="2" t="s">
        <v>14</v>
      </c>
      <c r="C174" s="25">
        <v>45631</v>
      </c>
      <c r="D174" s="2" t="s">
        <v>58</v>
      </c>
      <c r="E174" s="2" t="s">
        <v>97</v>
      </c>
      <c r="F174" s="2">
        <v>1330</v>
      </c>
      <c r="G174" s="2">
        <v>925</v>
      </c>
      <c r="H174" s="2">
        <v>35</v>
      </c>
      <c r="I174" s="3">
        <v>15960</v>
      </c>
      <c r="J174" s="2">
        <v>15379</v>
      </c>
      <c r="K174" s="3">
        <v>229</v>
      </c>
      <c r="L174" s="2" t="s">
        <v>50</v>
      </c>
      <c r="M174" s="2" t="s">
        <v>416</v>
      </c>
      <c r="N174" s="2" t="s">
        <v>416</v>
      </c>
      <c r="O174" s="2" t="s">
        <v>26</v>
      </c>
      <c r="P174" s="12">
        <f t="shared" si="2"/>
        <v>0.14348370927318296</v>
      </c>
    </row>
    <row r="175" spans="1:16" ht="15.75" customHeight="1">
      <c r="A175" s="2" t="s">
        <v>231</v>
      </c>
      <c r="B175" s="2" t="s">
        <v>36</v>
      </c>
      <c r="C175" s="25">
        <v>45465</v>
      </c>
      <c r="D175" s="2" t="s">
        <v>19</v>
      </c>
      <c r="E175" s="2" t="s">
        <v>46</v>
      </c>
      <c r="F175" s="2">
        <v>3828</v>
      </c>
      <c r="G175" s="2">
        <v>148</v>
      </c>
      <c r="H175" s="2">
        <v>253</v>
      </c>
      <c r="I175" s="3">
        <v>30624</v>
      </c>
      <c r="J175" s="2">
        <v>30229</v>
      </c>
      <c r="K175" s="3">
        <v>235</v>
      </c>
      <c r="L175" s="2" t="s">
        <v>31</v>
      </c>
      <c r="M175" s="2" t="s">
        <v>416</v>
      </c>
      <c r="N175" s="2" t="s">
        <v>416</v>
      </c>
      <c r="P175" s="12">
        <f t="shared" si="2"/>
        <v>0.13809430512016718</v>
      </c>
    </row>
    <row r="176" spans="1:16" ht="15.75" customHeight="1">
      <c r="A176" s="2" t="s">
        <v>232</v>
      </c>
      <c r="B176" s="2" t="s">
        <v>28</v>
      </c>
      <c r="C176" s="25">
        <v>45674</v>
      </c>
      <c r="D176" s="2" t="s">
        <v>15</v>
      </c>
      <c r="E176" s="2" t="s">
        <v>63</v>
      </c>
      <c r="F176" s="2">
        <v>142</v>
      </c>
      <c r="G176" s="2">
        <v>784</v>
      </c>
      <c r="H176" s="2">
        <v>183</v>
      </c>
      <c r="I176" s="3">
        <v>1704</v>
      </c>
      <c r="J176" s="2">
        <v>995</v>
      </c>
      <c r="K176" s="3">
        <v>154</v>
      </c>
      <c r="L176" s="2" t="s">
        <v>50</v>
      </c>
      <c r="M176" s="2" t="s">
        <v>416</v>
      </c>
      <c r="N176" s="2" t="s">
        <v>416</v>
      </c>
      <c r="O176" s="2" t="s">
        <v>32</v>
      </c>
      <c r="P176" s="12">
        <f t="shared" si="2"/>
        <v>0.6508215962441315</v>
      </c>
    </row>
    <row r="177" spans="1:16" ht="15.75" customHeight="1">
      <c r="A177" s="2" t="s">
        <v>233</v>
      </c>
      <c r="B177" s="2" t="s">
        <v>36</v>
      </c>
      <c r="C177" s="25">
        <v>45463</v>
      </c>
      <c r="D177" s="2" t="s">
        <v>58</v>
      </c>
      <c r="E177" s="2" t="s">
        <v>59</v>
      </c>
      <c r="F177" s="2">
        <v>3798</v>
      </c>
      <c r="G177" s="2">
        <v>31</v>
      </c>
      <c r="H177" s="2">
        <v>279</v>
      </c>
      <c r="I177" s="3">
        <v>75960</v>
      </c>
      <c r="J177" s="2">
        <v>75813</v>
      </c>
      <c r="K177" s="3">
        <v>266</v>
      </c>
      <c r="L177" s="2" t="s">
        <v>25</v>
      </c>
      <c r="M177" s="2" t="s">
        <v>416</v>
      </c>
      <c r="N177" s="2" t="s">
        <v>416</v>
      </c>
      <c r="O177" s="2" t="s">
        <v>17</v>
      </c>
      <c r="P177" s="12">
        <f t="shared" si="2"/>
        <v>5.4081095313322801E-2</v>
      </c>
    </row>
    <row r="178" spans="1:16" ht="15.75" customHeight="1">
      <c r="A178" s="2" t="s">
        <v>234</v>
      </c>
      <c r="B178" s="2" t="s">
        <v>28</v>
      </c>
      <c r="C178" s="25">
        <v>45483</v>
      </c>
      <c r="D178" s="2" t="s">
        <v>38</v>
      </c>
      <c r="E178" s="2" t="s">
        <v>67</v>
      </c>
      <c r="F178" s="2">
        <v>3099</v>
      </c>
      <c r="G178" s="2">
        <v>694</v>
      </c>
      <c r="H178" s="2">
        <v>171</v>
      </c>
      <c r="I178" s="3">
        <v>43386</v>
      </c>
      <c r="J178" s="2">
        <v>42921</v>
      </c>
      <c r="K178" s="3">
        <v>52</v>
      </c>
      <c r="L178" s="2" t="s">
        <v>25</v>
      </c>
      <c r="M178" s="2" t="s">
        <v>416</v>
      </c>
      <c r="N178" s="2" t="s">
        <v>416</v>
      </c>
      <c r="O178" s="2" t="s">
        <v>26</v>
      </c>
      <c r="P178" s="12">
        <f t="shared" si="2"/>
        <v>9.1365878393951966E-2</v>
      </c>
    </row>
    <row r="179" spans="1:16" ht="15.75" customHeight="1">
      <c r="A179" s="2" t="s">
        <v>235</v>
      </c>
      <c r="B179" s="2" t="s">
        <v>28</v>
      </c>
      <c r="C179" s="25">
        <v>45603</v>
      </c>
      <c r="D179" s="2" t="s">
        <v>58</v>
      </c>
      <c r="E179" s="2" t="s">
        <v>65</v>
      </c>
      <c r="F179" s="2">
        <v>129</v>
      </c>
      <c r="G179" s="2">
        <v>643</v>
      </c>
      <c r="H179" s="2">
        <v>136</v>
      </c>
      <c r="I179" s="3">
        <v>1290</v>
      </c>
      <c r="J179" s="2">
        <v>839</v>
      </c>
      <c r="K179" s="3">
        <v>238</v>
      </c>
      <c r="L179" s="2" t="s">
        <v>25</v>
      </c>
      <c r="M179" s="2" t="s">
        <v>416</v>
      </c>
      <c r="N179" s="2" t="s">
        <v>416</v>
      </c>
      <c r="O179" s="2" t="s">
        <v>32</v>
      </c>
      <c r="P179" s="12">
        <f t="shared" si="2"/>
        <v>0.70387596899224802</v>
      </c>
    </row>
    <row r="180" spans="1:16" ht="15.75" customHeight="1">
      <c r="A180" s="2" t="s">
        <v>236</v>
      </c>
      <c r="B180" s="2" t="s">
        <v>36</v>
      </c>
      <c r="C180" s="25">
        <v>45488</v>
      </c>
      <c r="D180" s="2" t="s">
        <v>38</v>
      </c>
      <c r="E180" s="2" t="s">
        <v>39</v>
      </c>
      <c r="F180" s="2">
        <v>3796</v>
      </c>
      <c r="G180" s="2">
        <v>667</v>
      </c>
      <c r="H180" s="2">
        <v>395</v>
      </c>
      <c r="I180" s="3">
        <v>64532</v>
      </c>
      <c r="J180" s="2">
        <v>63550</v>
      </c>
      <c r="K180" s="3">
        <v>292</v>
      </c>
      <c r="L180" s="2" t="s">
        <v>25</v>
      </c>
      <c r="M180" s="2" t="s">
        <v>416</v>
      </c>
      <c r="N180" s="2" t="s">
        <v>416</v>
      </c>
      <c r="P180" s="12">
        <f t="shared" si="2"/>
        <v>7.5280481001673588E-2</v>
      </c>
    </row>
    <row r="181" spans="1:16" ht="15.75" customHeight="1">
      <c r="A181" s="2" t="s">
        <v>237</v>
      </c>
      <c r="B181" s="2" t="s">
        <v>23</v>
      </c>
      <c r="C181" s="25">
        <v>45629</v>
      </c>
      <c r="D181" s="2" t="s">
        <v>19</v>
      </c>
      <c r="E181" s="2" t="s">
        <v>75</v>
      </c>
      <c r="F181" s="2">
        <v>3711</v>
      </c>
      <c r="G181" s="2">
        <v>352</v>
      </c>
      <c r="H181" s="2">
        <v>290</v>
      </c>
      <c r="I181" s="3">
        <v>48243</v>
      </c>
      <c r="J181" s="2">
        <v>47579</v>
      </c>
      <c r="K181" s="3">
        <v>11</v>
      </c>
      <c r="L181" s="2" t="s">
        <v>25</v>
      </c>
      <c r="M181" s="2" t="s">
        <v>416</v>
      </c>
      <c r="N181" s="2" t="s">
        <v>416</v>
      </c>
      <c r="O181" s="2" t="s">
        <v>17</v>
      </c>
      <c r="P181" s="12">
        <f t="shared" si="2"/>
        <v>9.023070704558174E-2</v>
      </c>
    </row>
    <row r="182" spans="1:16" ht="15.75" customHeight="1">
      <c r="A182" s="2" t="s">
        <v>238</v>
      </c>
      <c r="B182" s="2" t="s">
        <v>23</v>
      </c>
      <c r="C182" s="25">
        <v>45737</v>
      </c>
      <c r="D182" s="2" t="s">
        <v>43</v>
      </c>
      <c r="E182" s="2" t="s">
        <v>44</v>
      </c>
      <c r="F182" s="2">
        <v>606</v>
      </c>
      <c r="G182" s="2">
        <v>789</v>
      </c>
      <c r="H182" s="2">
        <v>470</v>
      </c>
      <c r="I182" s="3">
        <v>7878</v>
      </c>
      <c r="J182" s="2">
        <v>7389</v>
      </c>
      <c r="K182" s="3">
        <v>239</v>
      </c>
      <c r="L182" s="2" t="s">
        <v>31</v>
      </c>
      <c r="M182" s="2" t="s">
        <v>416</v>
      </c>
      <c r="N182" s="2" t="s">
        <v>416</v>
      </c>
      <c r="O182" s="2" t="s">
        <v>26</v>
      </c>
      <c r="P182" s="12">
        <f t="shared" si="2"/>
        <v>0.23673521198273673</v>
      </c>
    </row>
    <row r="183" spans="1:16" ht="15.75" customHeight="1">
      <c r="A183" s="2" t="s">
        <v>239</v>
      </c>
      <c r="B183" s="2" t="s">
        <v>36</v>
      </c>
      <c r="C183" s="25">
        <v>45504</v>
      </c>
      <c r="D183" s="2" t="s">
        <v>43</v>
      </c>
      <c r="E183" s="2" t="s">
        <v>48</v>
      </c>
      <c r="F183" s="2">
        <v>4689</v>
      </c>
      <c r="G183" s="2">
        <v>134</v>
      </c>
      <c r="H183" s="2">
        <v>403</v>
      </c>
      <c r="I183" s="3">
        <v>51579</v>
      </c>
      <c r="J183" s="2">
        <v>50924</v>
      </c>
      <c r="K183" s="3">
        <v>173</v>
      </c>
      <c r="L183" s="2" t="s">
        <v>25</v>
      </c>
      <c r="M183" s="2" t="s">
        <v>416</v>
      </c>
      <c r="N183" s="2" t="s">
        <v>416</v>
      </c>
      <c r="O183" s="2" t="s">
        <v>32</v>
      </c>
      <c r="P183" s="12">
        <f t="shared" si="2"/>
        <v>0.10132030477519921</v>
      </c>
    </row>
    <row r="184" spans="1:16" ht="15.75" customHeight="1">
      <c r="A184" s="2" t="s">
        <v>240</v>
      </c>
      <c r="B184" s="2" t="s">
        <v>28</v>
      </c>
      <c r="C184" s="25">
        <v>45643</v>
      </c>
      <c r="D184" s="2" t="s">
        <v>29</v>
      </c>
      <c r="E184" s="2" t="s">
        <v>30</v>
      </c>
      <c r="F184" s="2">
        <v>360</v>
      </c>
      <c r="G184" s="2">
        <v>590</v>
      </c>
      <c r="H184" s="2">
        <v>393</v>
      </c>
      <c r="I184" s="3">
        <v>4680</v>
      </c>
      <c r="J184" s="2">
        <v>4322</v>
      </c>
      <c r="K184" s="3">
        <v>208</v>
      </c>
      <c r="L184" s="2" t="s">
        <v>50</v>
      </c>
      <c r="M184" s="2" t="s">
        <v>416</v>
      </c>
      <c r="N184" s="2" t="s">
        <v>416</v>
      </c>
      <c r="O184" s="2" t="s">
        <v>21</v>
      </c>
      <c r="P184" s="12">
        <f t="shared" si="2"/>
        <v>0.28696581196581195</v>
      </c>
    </row>
    <row r="185" spans="1:16" ht="15.75" customHeight="1">
      <c r="A185" s="2" t="s">
        <v>241</v>
      </c>
      <c r="B185" s="2" t="s">
        <v>14</v>
      </c>
      <c r="C185" s="25">
        <v>45501</v>
      </c>
      <c r="D185" s="2" t="s">
        <v>43</v>
      </c>
      <c r="E185" s="2" t="s">
        <v>90</v>
      </c>
      <c r="F185" s="2">
        <v>3215</v>
      </c>
      <c r="G185" s="2">
        <v>960</v>
      </c>
      <c r="H185" s="2">
        <v>202</v>
      </c>
      <c r="I185" s="3">
        <v>32150</v>
      </c>
      <c r="J185" s="2">
        <v>31404</v>
      </c>
      <c r="K185" s="3">
        <v>251</v>
      </c>
      <c r="L185" s="2" t="s">
        <v>31</v>
      </c>
      <c r="M185" s="2" t="s">
        <v>416</v>
      </c>
      <c r="N185" s="2" t="s">
        <v>416</v>
      </c>
      <c r="O185" s="2" t="s">
        <v>17</v>
      </c>
      <c r="P185" s="12">
        <f t="shared" si="2"/>
        <v>0.13614307931570763</v>
      </c>
    </row>
    <row r="186" spans="1:16" ht="15.75" customHeight="1">
      <c r="A186" s="2" t="s">
        <v>242</v>
      </c>
      <c r="B186" s="2" t="s">
        <v>28</v>
      </c>
      <c r="C186" s="25">
        <v>45668</v>
      </c>
      <c r="D186" s="2" t="s">
        <v>38</v>
      </c>
      <c r="E186" s="2" t="s">
        <v>67</v>
      </c>
      <c r="F186" s="2">
        <v>4523</v>
      </c>
      <c r="G186" s="2">
        <v>61</v>
      </c>
      <c r="H186" s="2">
        <v>157</v>
      </c>
      <c r="I186" s="3">
        <v>49753</v>
      </c>
      <c r="J186" s="2">
        <v>49329</v>
      </c>
      <c r="K186" s="3">
        <v>71</v>
      </c>
      <c r="L186" s="2" t="s">
        <v>31</v>
      </c>
      <c r="M186" s="2" t="s">
        <v>416</v>
      </c>
      <c r="N186" s="2" t="s">
        <v>416</v>
      </c>
      <c r="P186" s="12">
        <f t="shared" si="2"/>
        <v>9.5290736237010829E-2</v>
      </c>
    </row>
    <row r="187" spans="1:16" ht="15.75" customHeight="1">
      <c r="A187" s="2" t="s">
        <v>243</v>
      </c>
      <c r="B187" s="2" t="s">
        <v>36</v>
      </c>
      <c r="C187" s="25">
        <v>45528</v>
      </c>
      <c r="D187" s="2" t="s">
        <v>38</v>
      </c>
      <c r="E187" s="2" t="s">
        <v>39</v>
      </c>
      <c r="F187" s="2">
        <v>4292</v>
      </c>
      <c r="G187" s="2">
        <v>51</v>
      </c>
      <c r="H187" s="2">
        <v>392</v>
      </c>
      <c r="I187" s="3">
        <v>55796</v>
      </c>
      <c r="J187" s="2">
        <v>54826</v>
      </c>
      <c r="K187" s="3">
        <v>264</v>
      </c>
      <c r="L187" s="2" t="s">
        <v>31</v>
      </c>
      <c r="M187" s="2" t="s">
        <v>416</v>
      </c>
      <c r="N187" s="2" t="s">
        <v>416</v>
      </c>
      <c r="O187" s="2" t="s">
        <v>26</v>
      </c>
      <c r="P187" s="12">
        <f t="shared" si="2"/>
        <v>8.4862714173059003E-2</v>
      </c>
    </row>
    <row r="188" spans="1:16" ht="15.75" customHeight="1">
      <c r="A188" s="2" t="s">
        <v>244</v>
      </c>
      <c r="B188" s="2" t="s">
        <v>14</v>
      </c>
      <c r="C188" s="25">
        <v>45648</v>
      </c>
      <c r="D188" s="2" t="s">
        <v>15</v>
      </c>
      <c r="E188" s="2" t="s">
        <v>16</v>
      </c>
      <c r="F188" s="2">
        <v>1644</v>
      </c>
      <c r="G188" s="2">
        <v>546</v>
      </c>
      <c r="H188" s="2">
        <v>150</v>
      </c>
      <c r="I188" s="3">
        <v>27948</v>
      </c>
      <c r="J188" s="2">
        <v>27184</v>
      </c>
      <c r="K188" s="3">
        <v>300</v>
      </c>
      <c r="L188" s="2" t="s">
        <v>31</v>
      </c>
      <c r="M188" s="2" t="s">
        <v>416</v>
      </c>
      <c r="N188" s="2" t="s">
        <v>416</v>
      </c>
      <c r="O188" s="2" t="s">
        <v>26</v>
      </c>
      <c r="P188" s="12">
        <f t="shared" si="2"/>
        <v>8.3726921425504502E-2</v>
      </c>
    </row>
    <row r="189" spans="1:16" ht="15.75" customHeight="1">
      <c r="A189" s="2" t="s">
        <v>245</v>
      </c>
      <c r="B189" s="2" t="s">
        <v>23</v>
      </c>
      <c r="C189" s="25">
        <v>45449</v>
      </c>
      <c r="D189" s="2" t="s">
        <v>15</v>
      </c>
      <c r="E189" s="2" t="s">
        <v>24</v>
      </c>
      <c r="F189" s="2">
        <v>2728</v>
      </c>
      <c r="G189" s="2">
        <v>533</v>
      </c>
      <c r="H189" s="2">
        <v>215</v>
      </c>
      <c r="I189" s="3">
        <v>40920</v>
      </c>
      <c r="J189" s="2">
        <v>40816</v>
      </c>
      <c r="K189" s="3">
        <v>137</v>
      </c>
      <c r="L189" s="2" t="s">
        <v>50</v>
      </c>
      <c r="M189" s="2" t="s">
        <v>416</v>
      </c>
      <c r="N189" s="2" t="s">
        <v>416</v>
      </c>
      <c r="O189" s="2" t="s">
        <v>21</v>
      </c>
      <c r="P189" s="12">
        <f t="shared" si="2"/>
        <v>8.4946236559139784E-2</v>
      </c>
    </row>
    <row r="190" spans="1:16" ht="15.75" customHeight="1">
      <c r="A190" s="2" t="s">
        <v>246</v>
      </c>
      <c r="B190" s="2" t="s">
        <v>36</v>
      </c>
      <c r="C190" s="25">
        <v>45740</v>
      </c>
      <c r="D190" s="2" t="s">
        <v>15</v>
      </c>
      <c r="E190" s="2" t="s">
        <v>52</v>
      </c>
      <c r="F190" s="2">
        <v>3360</v>
      </c>
      <c r="G190" s="2">
        <v>525</v>
      </c>
      <c r="H190" s="2">
        <v>500</v>
      </c>
      <c r="I190" s="3">
        <v>60480</v>
      </c>
      <c r="J190" s="2">
        <v>59610</v>
      </c>
      <c r="K190" s="3">
        <v>192</v>
      </c>
      <c r="L190" s="2" t="s">
        <v>25</v>
      </c>
      <c r="M190" s="2" t="s">
        <v>416</v>
      </c>
      <c r="N190" s="2" t="s">
        <v>416</v>
      </c>
      <c r="O190" s="2" t="s">
        <v>17</v>
      </c>
      <c r="P190" s="12">
        <f t="shared" si="2"/>
        <v>7.2503306878306875E-2</v>
      </c>
    </row>
    <row r="191" spans="1:16" ht="15.75" customHeight="1">
      <c r="A191" s="2" t="s">
        <v>247</v>
      </c>
      <c r="B191" s="2" t="s">
        <v>23</v>
      </c>
      <c r="C191" s="25">
        <v>45569</v>
      </c>
      <c r="D191" s="2" t="s">
        <v>19</v>
      </c>
      <c r="E191" s="2" t="s">
        <v>75</v>
      </c>
      <c r="F191" s="2">
        <v>1963</v>
      </c>
      <c r="G191" s="2">
        <v>213</v>
      </c>
      <c r="H191" s="2">
        <v>19</v>
      </c>
      <c r="I191" s="3">
        <v>39260</v>
      </c>
      <c r="J191" s="2">
        <v>38771</v>
      </c>
      <c r="K191" s="3">
        <v>145</v>
      </c>
      <c r="L191" s="2" t="s">
        <v>50</v>
      </c>
      <c r="M191" s="2" t="s">
        <v>416</v>
      </c>
      <c r="N191" s="2" t="s">
        <v>416</v>
      </c>
      <c r="P191" s="12">
        <f t="shared" si="2"/>
        <v>5.5909322465613857E-2</v>
      </c>
    </row>
    <row r="192" spans="1:16" ht="15.75" customHeight="1">
      <c r="A192" s="2" t="s">
        <v>248</v>
      </c>
      <c r="B192" s="2" t="s">
        <v>23</v>
      </c>
      <c r="C192" s="25">
        <v>45629</v>
      </c>
      <c r="D192" s="2" t="s">
        <v>29</v>
      </c>
      <c r="E192" s="2" t="s">
        <v>103</v>
      </c>
      <c r="F192" s="2">
        <v>4285</v>
      </c>
      <c r="G192" s="2">
        <v>886</v>
      </c>
      <c r="H192" s="2">
        <v>376</v>
      </c>
      <c r="I192" s="3">
        <v>55705</v>
      </c>
      <c r="J192" s="2">
        <v>55556</v>
      </c>
      <c r="K192" s="3">
        <v>51</v>
      </c>
      <c r="L192" s="2" t="s">
        <v>50</v>
      </c>
      <c r="M192" s="2" t="s">
        <v>416</v>
      </c>
      <c r="N192" s="2" t="s">
        <v>416</v>
      </c>
      <c r="O192" s="2" t="s">
        <v>26</v>
      </c>
      <c r="P192" s="12">
        <f t="shared" si="2"/>
        <v>9.9578134817341346E-2</v>
      </c>
    </row>
    <row r="193" spans="1:16" ht="15.75" customHeight="1">
      <c r="A193" s="2" t="s">
        <v>249</v>
      </c>
      <c r="B193" s="2" t="s">
        <v>28</v>
      </c>
      <c r="C193" s="25">
        <v>45625</v>
      </c>
      <c r="D193" s="2" t="s">
        <v>58</v>
      </c>
      <c r="E193" s="2" t="s">
        <v>65</v>
      </c>
      <c r="F193" s="2">
        <v>1176</v>
      </c>
      <c r="G193" s="2">
        <v>464</v>
      </c>
      <c r="H193" s="2">
        <v>394</v>
      </c>
      <c r="I193" s="3">
        <v>14112</v>
      </c>
      <c r="J193" s="2">
        <v>13588</v>
      </c>
      <c r="K193" s="3">
        <v>272</v>
      </c>
      <c r="L193" s="2" t="s">
        <v>31</v>
      </c>
      <c r="M193" s="2" t="s">
        <v>416</v>
      </c>
      <c r="N193" s="2" t="s">
        <v>416</v>
      </c>
      <c r="P193" s="12">
        <f t="shared" si="2"/>
        <v>0.1441326530612245</v>
      </c>
    </row>
    <row r="194" spans="1:16" ht="15.75" customHeight="1">
      <c r="A194" s="2" t="s">
        <v>250</v>
      </c>
      <c r="B194" s="2" t="s">
        <v>14</v>
      </c>
      <c r="C194" s="25">
        <v>45546</v>
      </c>
      <c r="D194" s="2" t="s">
        <v>43</v>
      </c>
      <c r="E194" s="2" t="s">
        <v>90</v>
      </c>
      <c r="F194" s="2">
        <v>4858</v>
      </c>
      <c r="G194" s="2">
        <v>317</v>
      </c>
      <c r="H194" s="2">
        <v>129</v>
      </c>
      <c r="I194" s="3">
        <v>53438</v>
      </c>
      <c r="J194" s="2">
        <v>52687</v>
      </c>
      <c r="K194" s="3">
        <v>223</v>
      </c>
      <c r="L194" s="2" t="s">
        <v>31</v>
      </c>
      <c r="M194" s="2" t="s">
        <v>416</v>
      </c>
      <c r="N194" s="2" t="s">
        <v>416</v>
      </c>
      <c r="O194" s="2" t="s">
        <v>26</v>
      </c>
      <c r="P194" s="12">
        <f t="shared" si="2"/>
        <v>9.9255211647142488E-2</v>
      </c>
    </row>
    <row r="195" spans="1:16" ht="15.75" customHeight="1">
      <c r="A195" s="2" t="s">
        <v>251</v>
      </c>
      <c r="B195" s="2" t="s">
        <v>23</v>
      </c>
      <c r="C195" s="25">
        <v>45567</v>
      </c>
      <c r="D195" s="2" t="s">
        <v>29</v>
      </c>
      <c r="E195" s="2" t="s">
        <v>103</v>
      </c>
      <c r="F195" s="2">
        <v>4350</v>
      </c>
      <c r="G195" s="2">
        <v>771</v>
      </c>
      <c r="H195" s="2">
        <v>7</v>
      </c>
      <c r="I195" s="3">
        <v>60900</v>
      </c>
      <c r="J195" s="2">
        <v>60592</v>
      </c>
      <c r="K195" s="3">
        <v>195</v>
      </c>
      <c r="L195" s="2" t="s">
        <v>31</v>
      </c>
      <c r="M195" s="2" t="s">
        <v>416</v>
      </c>
      <c r="N195" s="2" t="s">
        <v>416</v>
      </c>
      <c r="O195" s="2" t="s">
        <v>17</v>
      </c>
      <c r="P195" s="12">
        <f t="shared" ref="P195:P258" si="3">(F195+G195+H195)/I195</f>
        <v>8.4203612479474554E-2</v>
      </c>
    </row>
    <row r="196" spans="1:16" ht="15.75" customHeight="1">
      <c r="A196" s="2" t="s">
        <v>252</v>
      </c>
      <c r="B196" s="2" t="s">
        <v>28</v>
      </c>
      <c r="C196" s="25">
        <v>45519</v>
      </c>
      <c r="D196" s="2" t="s">
        <v>38</v>
      </c>
      <c r="E196" s="2" t="s">
        <v>67</v>
      </c>
      <c r="F196" s="2">
        <v>914</v>
      </c>
      <c r="G196" s="2">
        <v>464</v>
      </c>
      <c r="H196" s="2">
        <v>246</v>
      </c>
      <c r="I196" s="3">
        <v>11882</v>
      </c>
      <c r="J196" s="2">
        <v>11500</v>
      </c>
      <c r="K196" s="3">
        <v>282</v>
      </c>
      <c r="L196" s="2" t="s">
        <v>50</v>
      </c>
      <c r="M196" s="2" t="s">
        <v>25</v>
      </c>
      <c r="N196" s="2" t="s">
        <v>386</v>
      </c>
      <c r="O196" s="2" t="s">
        <v>32</v>
      </c>
      <c r="P196" s="12">
        <f t="shared" si="3"/>
        <v>0.13667732704931829</v>
      </c>
    </row>
    <row r="197" spans="1:16" ht="15.75" customHeight="1">
      <c r="A197" s="2" t="s">
        <v>253</v>
      </c>
      <c r="B197" s="2" t="s">
        <v>28</v>
      </c>
      <c r="C197" s="25">
        <v>45645</v>
      </c>
      <c r="D197" s="2" t="s">
        <v>19</v>
      </c>
      <c r="E197" s="2" t="s">
        <v>80</v>
      </c>
      <c r="F197" s="2">
        <v>1813</v>
      </c>
      <c r="G197" s="2">
        <v>623</v>
      </c>
      <c r="H197" s="2">
        <v>72</v>
      </c>
      <c r="I197" s="3">
        <v>19943</v>
      </c>
      <c r="J197" s="2">
        <v>18959</v>
      </c>
      <c r="K197" s="3">
        <v>85</v>
      </c>
      <c r="L197" s="2" t="s">
        <v>31</v>
      </c>
      <c r="M197" s="2" t="s">
        <v>416</v>
      </c>
      <c r="N197" s="2" t="s">
        <v>416</v>
      </c>
      <c r="O197" s="2" t="s">
        <v>26</v>
      </c>
      <c r="P197" s="12">
        <f t="shared" si="3"/>
        <v>0.12575841147269717</v>
      </c>
    </row>
    <row r="198" spans="1:16" ht="15.75" customHeight="1">
      <c r="A198" s="2" t="s">
        <v>254</v>
      </c>
      <c r="B198" s="2" t="s">
        <v>14</v>
      </c>
      <c r="C198" s="25">
        <v>45587</v>
      </c>
      <c r="D198" s="2" t="s">
        <v>15</v>
      </c>
      <c r="E198" s="2" t="s">
        <v>16</v>
      </c>
      <c r="F198" s="2">
        <v>4782</v>
      </c>
      <c r="G198" s="2">
        <v>721</v>
      </c>
      <c r="H198" s="2">
        <v>82</v>
      </c>
      <c r="I198" s="3">
        <v>86076</v>
      </c>
      <c r="J198" s="2">
        <v>85339</v>
      </c>
      <c r="K198" s="3">
        <v>19</v>
      </c>
      <c r="L198" s="2" t="s">
        <v>31</v>
      </c>
      <c r="M198" s="2" t="s">
        <v>416</v>
      </c>
      <c r="N198" s="2" t="s">
        <v>416</v>
      </c>
      <c r="O198" s="2" t="s">
        <v>17</v>
      </c>
      <c r="P198" s="12">
        <f t="shared" si="3"/>
        <v>6.4884520656164318E-2</v>
      </c>
    </row>
    <row r="199" spans="1:16" ht="15.75" customHeight="1">
      <c r="A199" s="2" t="s">
        <v>255</v>
      </c>
      <c r="B199" s="2" t="s">
        <v>14</v>
      </c>
      <c r="C199" s="25">
        <v>45549</v>
      </c>
      <c r="D199" s="2" t="s">
        <v>43</v>
      </c>
      <c r="E199" s="2" t="s">
        <v>90</v>
      </c>
      <c r="F199" s="2">
        <v>1048</v>
      </c>
      <c r="G199" s="2">
        <v>374</v>
      </c>
      <c r="H199" s="2">
        <v>450</v>
      </c>
      <c r="I199" s="3">
        <v>9432</v>
      </c>
      <c r="J199" s="2">
        <v>8882</v>
      </c>
      <c r="K199" s="3">
        <v>158</v>
      </c>
      <c r="L199" s="2" t="s">
        <v>25</v>
      </c>
      <c r="M199" s="2" t="s">
        <v>416</v>
      </c>
      <c r="N199" s="2" t="s">
        <v>416</v>
      </c>
      <c r="O199" s="2" t="s">
        <v>26</v>
      </c>
      <c r="P199" s="12">
        <f t="shared" si="3"/>
        <v>0.19847328244274809</v>
      </c>
    </row>
    <row r="200" spans="1:16" ht="15.75" customHeight="1">
      <c r="A200" s="2" t="s">
        <v>256</v>
      </c>
      <c r="B200" s="2" t="s">
        <v>23</v>
      </c>
      <c r="C200" s="25">
        <v>45626</v>
      </c>
      <c r="D200" s="2" t="s">
        <v>38</v>
      </c>
      <c r="E200" s="2" t="s">
        <v>54</v>
      </c>
      <c r="F200" s="2">
        <v>2509</v>
      </c>
      <c r="G200" s="2">
        <v>324</v>
      </c>
      <c r="H200" s="2">
        <v>171</v>
      </c>
      <c r="I200" s="3">
        <v>35126</v>
      </c>
      <c r="J200" s="2">
        <v>34685</v>
      </c>
      <c r="K200" s="3">
        <v>277</v>
      </c>
      <c r="L200" s="2" t="s">
        <v>25</v>
      </c>
      <c r="M200" s="2" t="s">
        <v>416</v>
      </c>
      <c r="N200" s="2" t="s">
        <v>416</v>
      </c>
      <c r="O200" s="2" t="s">
        <v>21</v>
      </c>
      <c r="P200" s="12">
        <f t="shared" si="3"/>
        <v>8.5520696919660646E-2</v>
      </c>
    </row>
    <row r="201" spans="1:16" ht="15.75" customHeight="1">
      <c r="A201" s="2" t="s">
        <v>257</v>
      </c>
      <c r="B201" s="2" t="s">
        <v>36</v>
      </c>
      <c r="C201" s="25">
        <v>45754</v>
      </c>
      <c r="D201" s="2" t="s">
        <v>15</v>
      </c>
      <c r="E201" s="2" t="s">
        <v>52</v>
      </c>
      <c r="F201" s="2">
        <v>3718</v>
      </c>
      <c r="G201" s="2">
        <v>385</v>
      </c>
      <c r="H201" s="2">
        <v>310</v>
      </c>
      <c r="I201" s="3">
        <v>70642</v>
      </c>
      <c r="J201" s="2">
        <v>69749</v>
      </c>
      <c r="K201" s="3">
        <v>233</v>
      </c>
      <c r="L201" s="2" t="s">
        <v>25</v>
      </c>
      <c r="M201" s="2" t="s">
        <v>416</v>
      </c>
      <c r="N201" s="2" t="s">
        <v>416</v>
      </c>
      <c r="O201" s="2" t="s">
        <v>21</v>
      </c>
      <c r="P201" s="12">
        <f t="shared" si="3"/>
        <v>6.246991874522239E-2</v>
      </c>
    </row>
    <row r="202" spans="1:16" ht="15.75" customHeight="1">
      <c r="A202" s="2" t="s">
        <v>258</v>
      </c>
      <c r="B202" s="2" t="s">
        <v>14</v>
      </c>
      <c r="C202" s="25">
        <v>45672</v>
      </c>
      <c r="D202" s="2" t="s">
        <v>15</v>
      </c>
      <c r="E202" s="2" t="s">
        <v>16</v>
      </c>
      <c r="F202" s="2">
        <v>802</v>
      </c>
      <c r="G202" s="2">
        <v>262</v>
      </c>
      <c r="H202" s="2">
        <v>244</v>
      </c>
      <c r="I202" s="3">
        <v>14436</v>
      </c>
      <c r="J202" s="2">
        <v>14280</v>
      </c>
      <c r="K202" s="3">
        <v>49</v>
      </c>
      <c r="L202" s="2" t="s">
        <v>31</v>
      </c>
      <c r="M202" s="2" t="s">
        <v>416</v>
      </c>
      <c r="N202" s="2" t="s">
        <v>416</v>
      </c>
      <c r="O202" s="2" t="s">
        <v>17</v>
      </c>
      <c r="P202" s="12">
        <f t="shared" si="3"/>
        <v>9.0606816292601824E-2</v>
      </c>
    </row>
    <row r="203" spans="1:16" ht="15.75" customHeight="1">
      <c r="A203" s="2" t="s">
        <v>259</v>
      </c>
      <c r="B203" s="2" t="s">
        <v>36</v>
      </c>
      <c r="C203" s="25">
        <v>45445</v>
      </c>
      <c r="D203" s="2" t="s">
        <v>43</v>
      </c>
      <c r="E203" s="2" t="s">
        <v>48</v>
      </c>
      <c r="F203" s="2">
        <v>1871</v>
      </c>
      <c r="G203" s="2">
        <v>252</v>
      </c>
      <c r="H203" s="2">
        <v>335</v>
      </c>
      <c r="I203" s="3">
        <v>29936</v>
      </c>
      <c r="J203" s="2">
        <v>29576</v>
      </c>
      <c r="K203" s="3">
        <v>288</v>
      </c>
      <c r="L203" s="2" t="s">
        <v>31</v>
      </c>
      <c r="M203" s="2" t="s">
        <v>416</v>
      </c>
      <c r="N203" s="2" t="s">
        <v>416</v>
      </c>
      <c r="O203" s="2" t="s">
        <v>26</v>
      </c>
      <c r="P203" s="12">
        <f t="shared" si="3"/>
        <v>8.2108498129342594E-2</v>
      </c>
    </row>
    <row r="204" spans="1:16" ht="15.75" customHeight="1">
      <c r="A204" s="2" t="s">
        <v>260</v>
      </c>
      <c r="B204" s="2" t="s">
        <v>28</v>
      </c>
      <c r="C204" s="25">
        <v>45617</v>
      </c>
      <c r="D204" s="2" t="s">
        <v>38</v>
      </c>
      <c r="E204" s="2" t="s">
        <v>67</v>
      </c>
      <c r="F204" s="2">
        <v>3773</v>
      </c>
      <c r="G204" s="2">
        <v>299</v>
      </c>
      <c r="H204" s="2">
        <v>38</v>
      </c>
      <c r="I204" s="3">
        <v>71687</v>
      </c>
      <c r="J204" s="2">
        <v>71447</v>
      </c>
      <c r="K204" s="3">
        <v>286</v>
      </c>
      <c r="L204" s="2" t="s">
        <v>50</v>
      </c>
      <c r="M204" s="2" t="s">
        <v>416</v>
      </c>
      <c r="N204" s="2" t="s">
        <v>416</v>
      </c>
      <c r="O204" s="2" t="s">
        <v>17</v>
      </c>
      <c r="P204" s="12">
        <f t="shared" si="3"/>
        <v>5.7332570758993957E-2</v>
      </c>
    </row>
    <row r="205" spans="1:16" ht="15.75" customHeight="1">
      <c r="A205" s="2" t="s">
        <v>261</v>
      </c>
      <c r="B205" s="2" t="s">
        <v>28</v>
      </c>
      <c r="C205" s="25">
        <v>45658</v>
      </c>
      <c r="D205" s="2" t="s">
        <v>38</v>
      </c>
      <c r="E205" s="2" t="s">
        <v>67</v>
      </c>
      <c r="F205" s="2">
        <v>2234</v>
      </c>
      <c r="G205" s="2">
        <v>653</v>
      </c>
      <c r="H205" s="2">
        <v>432</v>
      </c>
      <c r="I205" s="3">
        <v>11170</v>
      </c>
      <c r="J205" s="2">
        <v>10569</v>
      </c>
      <c r="K205" s="3">
        <v>198</v>
      </c>
      <c r="L205" s="2" t="s">
        <v>50</v>
      </c>
      <c r="M205" s="2" t="s">
        <v>416</v>
      </c>
      <c r="N205" s="2" t="s">
        <v>416</v>
      </c>
      <c r="O205" s="2" t="s">
        <v>26</v>
      </c>
      <c r="P205" s="12">
        <f t="shared" si="3"/>
        <v>0.29713518352730528</v>
      </c>
    </row>
    <row r="206" spans="1:16" ht="15.75" customHeight="1">
      <c r="A206" s="2" t="s">
        <v>262</v>
      </c>
      <c r="B206" s="2" t="s">
        <v>14</v>
      </c>
      <c r="C206" s="25">
        <v>45771</v>
      </c>
      <c r="D206" s="2" t="s">
        <v>58</v>
      </c>
      <c r="E206" s="2" t="s">
        <v>97</v>
      </c>
      <c r="F206" s="2">
        <v>3820</v>
      </c>
      <c r="G206" s="2">
        <v>697</v>
      </c>
      <c r="H206" s="2">
        <v>268</v>
      </c>
      <c r="I206" s="3">
        <v>45840</v>
      </c>
      <c r="J206" s="2">
        <v>45631</v>
      </c>
      <c r="K206" s="3">
        <v>171</v>
      </c>
      <c r="L206" s="2" t="s">
        <v>25</v>
      </c>
      <c r="M206" s="2" t="s">
        <v>381</v>
      </c>
      <c r="N206" s="2" t="s">
        <v>416</v>
      </c>
      <c r="O206" s="2" t="s">
        <v>32</v>
      </c>
      <c r="P206" s="12">
        <f t="shared" si="3"/>
        <v>0.1043848167539267</v>
      </c>
    </row>
    <row r="207" spans="1:16" ht="15.75" customHeight="1">
      <c r="A207" s="2" t="s">
        <v>263</v>
      </c>
      <c r="B207" s="2" t="s">
        <v>14</v>
      </c>
      <c r="C207" s="25">
        <v>45467</v>
      </c>
      <c r="D207" s="2" t="s">
        <v>19</v>
      </c>
      <c r="E207" s="2" t="s">
        <v>20</v>
      </c>
      <c r="F207" s="2">
        <v>941</v>
      </c>
      <c r="G207" s="2">
        <v>121</v>
      </c>
      <c r="H207" s="2">
        <v>458</v>
      </c>
      <c r="I207" s="3">
        <v>14115</v>
      </c>
      <c r="J207" s="2">
        <v>13838</v>
      </c>
      <c r="K207" s="3">
        <v>87</v>
      </c>
      <c r="L207" s="2" t="s">
        <v>31</v>
      </c>
      <c r="M207" s="2" t="s">
        <v>416</v>
      </c>
      <c r="N207" s="2" t="s">
        <v>416</v>
      </c>
      <c r="O207" s="2" t="s">
        <v>17</v>
      </c>
      <c r="P207" s="12">
        <f t="shared" si="3"/>
        <v>0.10768685795253277</v>
      </c>
    </row>
    <row r="208" spans="1:16" ht="15.75" customHeight="1">
      <c r="A208" s="2" t="s">
        <v>264</v>
      </c>
      <c r="B208" s="2" t="s">
        <v>14</v>
      </c>
      <c r="C208" s="25">
        <v>45655</v>
      </c>
      <c r="D208" s="2" t="s">
        <v>38</v>
      </c>
      <c r="E208" s="2" t="s">
        <v>41</v>
      </c>
      <c r="F208" s="2">
        <v>4274</v>
      </c>
      <c r="G208" s="2">
        <v>340</v>
      </c>
      <c r="H208" s="2">
        <v>281</v>
      </c>
      <c r="I208" s="3">
        <v>34192</v>
      </c>
      <c r="J208" s="2">
        <v>33446</v>
      </c>
      <c r="K208" s="3">
        <v>129</v>
      </c>
      <c r="L208" s="2" t="s">
        <v>25</v>
      </c>
      <c r="M208" s="2" t="s">
        <v>381</v>
      </c>
      <c r="N208" s="2" t="s">
        <v>416</v>
      </c>
      <c r="O208" s="2" t="s">
        <v>26</v>
      </c>
      <c r="P208" s="12">
        <f t="shared" si="3"/>
        <v>0.14316214319138981</v>
      </c>
    </row>
    <row r="209" spans="1:16" ht="15.75" customHeight="1">
      <c r="A209" s="2" t="s">
        <v>265</v>
      </c>
      <c r="B209" s="2" t="s">
        <v>23</v>
      </c>
      <c r="C209" s="25">
        <v>45467</v>
      </c>
      <c r="D209" s="2" t="s">
        <v>58</v>
      </c>
      <c r="E209" s="2" t="s">
        <v>138</v>
      </c>
      <c r="F209" s="2">
        <v>2949</v>
      </c>
      <c r="G209" s="2">
        <v>476</v>
      </c>
      <c r="H209" s="2">
        <v>403</v>
      </c>
      <c r="I209" s="3">
        <v>44235</v>
      </c>
      <c r="J209" s="2">
        <v>43705</v>
      </c>
      <c r="K209" s="3">
        <v>135</v>
      </c>
      <c r="L209" s="2" t="s">
        <v>25</v>
      </c>
      <c r="M209" s="2" t="s">
        <v>416</v>
      </c>
      <c r="N209" s="2" t="s">
        <v>416</v>
      </c>
      <c r="O209" s="2" t="s">
        <v>21</v>
      </c>
      <c r="P209" s="12">
        <f t="shared" si="3"/>
        <v>8.6537809426924378E-2</v>
      </c>
    </row>
    <row r="210" spans="1:16" ht="15.75" customHeight="1">
      <c r="A210" s="2" t="s">
        <v>266</v>
      </c>
      <c r="B210" s="2" t="s">
        <v>14</v>
      </c>
      <c r="C210" s="25">
        <v>45735</v>
      </c>
      <c r="D210" s="2" t="s">
        <v>58</v>
      </c>
      <c r="E210" s="2" t="s">
        <v>97</v>
      </c>
      <c r="F210" s="2">
        <v>3160</v>
      </c>
      <c r="G210" s="2">
        <v>204</v>
      </c>
      <c r="H210" s="2">
        <v>297</v>
      </c>
      <c r="I210" s="3">
        <v>44240</v>
      </c>
      <c r="J210" s="2">
        <v>43666</v>
      </c>
      <c r="K210" s="3">
        <v>49</v>
      </c>
      <c r="L210" s="2" t="s">
        <v>50</v>
      </c>
      <c r="M210" s="2" t="s">
        <v>386</v>
      </c>
      <c r="N210" s="2" t="s">
        <v>416</v>
      </c>
      <c r="O210" s="2" t="s">
        <v>32</v>
      </c>
      <c r="P210" s="12">
        <f t="shared" si="3"/>
        <v>8.2753164556962022E-2</v>
      </c>
    </row>
    <row r="211" spans="1:16" ht="15.75" customHeight="1">
      <c r="A211" s="2" t="s">
        <v>267</v>
      </c>
      <c r="B211" s="2" t="s">
        <v>23</v>
      </c>
      <c r="C211" s="25">
        <v>45707</v>
      </c>
      <c r="D211" s="2" t="s">
        <v>43</v>
      </c>
      <c r="E211" s="2" t="s">
        <v>44</v>
      </c>
      <c r="F211" s="2">
        <v>257</v>
      </c>
      <c r="G211" s="2">
        <v>966</v>
      </c>
      <c r="H211" s="2">
        <v>398</v>
      </c>
      <c r="I211" s="3">
        <v>3341</v>
      </c>
      <c r="J211" s="2">
        <v>2753</v>
      </c>
      <c r="K211" s="3">
        <v>287</v>
      </c>
      <c r="L211" s="2" t="s">
        <v>50</v>
      </c>
      <c r="M211" s="2" t="s">
        <v>416</v>
      </c>
      <c r="N211" s="2" t="s">
        <v>416</v>
      </c>
      <c r="O211" s="2" t="s">
        <v>17</v>
      </c>
      <c r="P211" s="12">
        <f t="shared" si="3"/>
        <v>0.48518407662376534</v>
      </c>
    </row>
    <row r="212" spans="1:16" ht="15.75" customHeight="1">
      <c r="A212" s="2" t="s">
        <v>268</v>
      </c>
      <c r="B212" s="2" t="s">
        <v>14</v>
      </c>
      <c r="C212" s="25">
        <v>45491</v>
      </c>
      <c r="D212" s="2" t="s">
        <v>38</v>
      </c>
      <c r="E212" s="2" t="s">
        <v>41</v>
      </c>
      <c r="F212" s="2">
        <v>2120</v>
      </c>
      <c r="G212" s="2">
        <v>38</v>
      </c>
      <c r="H212" s="2">
        <v>212</v>
      </c>
      <c r="I212" s="3">
        <v>12720</v>
      </c>
      <c r="J212" s="2">
        <v>12564</v>
      </c>
      <c r="K212" s="3">
        <v>21</v>
      </c>
      <c r="L212" s="2" t="s">
        <v>50</v>
      </c>
      <c r="M212" s="2" t="s">
        <v>416</v>
      </c>
      <c r="N212" s="2" t="s">
        <v>416</v>
      </c>
      <c r="O212" s="2" t="s">
        <v>32</v>
      </c>
      <c r="P212" s="12">
        <f t="shared" si="3"/>
        <v>0.18632075471698112</v>
      </c>
    </row>
    <row r="213" spans="1:16" ht="15.75" customHeight="1">
      <c r="A213" s="2" t="s">
        <v>269</v>
      </c>
      <c r="B213" s="2" t="s">
        <v>23</v>
      </c>
      <c r="C213" s="25">
        <v>45719</v>
      </c>
      <c r="D213" s="2" t="s">
        <v>58</v>
      </c>
      <c r="E213" s="2" t="s">
        <v>138</v>
      </c>
      <c r="F213" s="2">
        <v>3874</v>
      </c>
      <c r="G213" s="2">
        <v>884</v>
      </c>
      <c r="H213" s="2">
        <v>19</v>
      </c>
      <c r="I213" s="3">
        <v>38740</v>
      </c>
      <c r="J213" s="2">
        <v>38552</v>
      </c>
      <c r="K213" s="3">
        <v>219</v>
      </c>
      <c r="L213" s="2" t="s">
        <v>25</v>
      </c>
      <c r="M213" s="2" t="s">
        <v>416</v>
      </c>
      <c r="N213" s="2" t="s">
        <v>416</v>
      </c>
      <c r="O213" s="2" t="s">
        <v>21</v>
      </c>
      <c r="P213" s="12">
        <f t="shared" si="3"/>
        <v>0.123309241094476</v>
      </c>
    </row>
    <row r="214" spans="1:16" ht="15.75" customHeight="1">
      <c r="A214" s="2" t="s">
        <v>270</v>
      </c>
      <c r="B214" s="2" t="s">
        <v>36</v>
      </c>
      <c r="C214" s="25">
        <v>45778</v>
      </c>
      <c r="D214" s="2" t="s">
        <v>38</v>
      </c>
      <c r="E214" s="2" t="s">
        <v>39</v>
      </c>
      <c r="F214" s="2">
        <v>2696</v>
      </c>
      <c r="G214" s="2">
        <v>628</v>
      </c>
      <c r="H214" s="2">
        <v>443</v>
      </c>
      <c r="I214" s="3">
        <v>45832</v>
      </c>
      <c r="J214" s="2">
        <v>45632</v>
      </c>
      <c r="K214" s="3">
        <v>248</v>
      </c>
      <c r="L214" s="2" t="s">
        <v>31</v>
      </c>
      <c r="M214" s="2" t="s">
        <v>416</v>
      </c>
      <c r="N214" s="2" t="s">
        <v>416</v>
      </c>
      <c r="O214" s="2" t="s">
        <v>32</v>
      </c>
      <c r="P214" s="12">
        <f t="shared" si="3"/>
        <v>8.21914819340199E-2</v>
      </c>
    </row>
    <row r="215" spans="1:16" ht="15.75" customHeight="1">
      <c r="A215" s="2" t="s">
        <v>271</v>
      </c>
      <c r="B215" s="2" t="s">
        <v>28</v>
      </c>
      <c r="C215" s="25">
        <v>45649</v>
      </c>
      <c r="D215" s="2" t="s">
        <v>43</v>
      </c>
      <c r="E215" s="2" t="s">
        <v>136</v>
      </c>
      <c r="F215" s="2">
        <v>521</v>
      </c>
      <c r="G215" s="2">
        <v>746</v>
      </c>
      <c r="H215" s="2">
        <v>315</v>
      </c>
      <c r="I215" s="3">
        <v>4168</v>
      </c>
      <c r="J215" s="2">
        <v>3399</v>
      </c>
      <c r="K215" s="3">
        <v>282</v>
      </c>
      <c r="L215" s="2" t="s">
        <v>50</v>
      </c>
      <c r="M215" s="2" t="s">
        <v>416</v>
      </c>
      <c r="N215" s="2" t="s">
        <v>416</v>
      </c>
      <c r="O215" s="2" t="s">
        <v>21</v>
      </c>
      <c r="P215" s="12">
        <f t="shared" si="3"/>
        <v>0.37955854126679461</v>
      </c>
    </row>
    <row r="216" spans="1:16" ht="15.75" customHeight="1">
      <c r="A216" s="2" t="s">
        <v>272</v>
      </c>
      <c r="B216" s="2" t="s">
        <v>36</v>
      </c>
      <c r="C216" s="25">
        <v>45783</v>
      </c>
      <c r="D216" s="2" t="s">
        <v>43</v>
      </c>
      <c r="E216" s="2" t="s">
        <v>48</v>
      </c>
      <c r="F216" s="2">
        <v>4872</v>
      </c>
      <c r="G216" s="2">
        <v>925</v>
      </c>
      <c r="H216" s="2">
        <v>176</v>
      </c>
      <c r="I216" s="3">
        <v>82824</v>
      </c>
      <c r="J216" s="2">
        <v>82543</v>
      </c>
      <c r="K216" s="3">
        <v>89</v>
      </c>
      <c r="L216" s="2" t="s">
        <v>31</v>
      </c>
      <c r="M216" s="2" t="s">
        <v>416</v>
      </c>
      <c r="N216" s="2" t="s">
        <v>416</v>
      </c>
      <c r="O216" s="2" t="s">
        <v>21</v>
      </c>
      <c r="P216" s="12">
        <f t="shared" si="3"/>
        <v>7.2116777745580993E-2</v>
      </c>
    </row>
    <row r="217" spans="1:16" ht="15.75" customHeight="1">
      <c r="A217" s="2" t="s">
        <v>273</v>
      </c>
      <c r="B217" s="2" t="s">
        <v>23</v>
      </c>
      <c r="C217" s="25">
        <v>45502</v>
      </c>
      <c r="D217" s="2" t="s">
        <v>29</v>
      </c>
      <c r="E217" s="2" t="s">
        <v>103</v>
      </c>
      <c r="F217" s="2">
        <v>1509</v>
      </c>
      <c r="G217" s="2">
        <v>88</v>
      </c>
      <c r="H217" s="2">
        <v>163</v>
      </c>
      <c r="I217" s="3">
        <v>30180</v>
      </c>
      <c r="J217" s="2">
        <v>29689</v>
      </c>
      <c r="K217" s="3">
        <v>119</v>
      </c>
      <c r="L217" s="2" t="s">
        <v>31</v>
      </c>
      <c r="M217" s="2" t="s">
        <v>416</v>
      </c>
      <c r="N217" s="2" t="s">
        <v>416</v>
      </c>
      <c r="O217" s="2" t="s">
        <v>21</v>
      </c>
      <c r="P217" s="12">
        <f t="shared" si="3"/>
        <v>5.8316766070245198E-2</v>
      </c>
    </row>
    <row r="218" spans="1:16" ht="15.75" customHeight="1">
      <c r="A218" s="2" t="s">
        <v>274</v>
      </c>
      <c r="B218" s="2" t="s">
        <v>36</v>
      </c>
      <c r="C218" s="25">
        <v>45629</v>
      </c>
      <c r="D218" s="2" t="s">
        <v>43</v>
      </c>
      <c r="E218" s="2" t="s">
        <v>48</v>
      </c>
      <c r="F218" s="2">
        <v>4606</v>
      </c>
      <c r="G218" s="2">
        <v>931</v>
      </c>
      <c r="H218" s="2">
        <v>230</v>
      </c>
      <c r="I218" s="3">
        <v>92120</v>
      </c>
      <c r="J218" s="2">
        <v>91440</v>
      </c>
      <c r="K218" s="3">
        <v>56</v>
      </c>
      <c r="L218" s="2" t="s">
        <v>25</v>
      </c>
      <c r="M218" s="2" t="s">
        <v>416</v>
      </c>
      <c r="N218" s="2" t="s">
        <v>416</v>
      </c>
      <c r="P218" s="12">
        <f t="shared" si="3"/>
        <v>6.2603126356925748E-2</v>
      </c>
    </row>
    <row r="219" spans="1:16" ht="15.75" customHeight="1">
      <c r="A219" s="2" t="s">
        <v>275</v>
      </c>
      <c r="B219" s="2" t="s">
        <v>36</v>
      </c>
      <c r="C219" s="25">
        <v>45454</v>
      </c>
      <c r="D219" s="2" t="s">
        <v>38</v>
      </c>
      <c r="E219" s="2" t="s">
        <v>39</v>
      </c>
      <c r="F219" s="2">
        <v>1869</v>
      </c>
      <c r="G219" s="2">
        <v>453</v>
      </c>
      <c r="H219" s="2">
        <v>490</v>
      </c>
      <c r="I219" s="3">
        <v>14952</v>
      </c>
      <c r="J219" s="2">
        <v>14309</v>
      </c>
      <c r="K219" s="3">
        <v>275</v>
      </c>
      <c r="L219" s="2" t="s">
        <v>25</v>
      </c>
      <c r="M219" s="2" t="s">
        <v>416</v>
      </c>
      <c r="N219" s="2" t="s">
        <v>416</v>
      </c>
      <c r="O219" s="2" t="s">
        <v>32</v>
      </c>
      <c r="P219" s="12">
        <f t="shared" si="3"/>
        <v>0.18806848582129482</v>
      </c>
    </row>
    <row r="220" spans="1:16" ht="15.75" customHeight="1">
      <c r="A220" s="2" t="s">
        <v>276</v>
      </c>
      <c r="B220" s="2" t="s">
        <v>14</v>
      </c>
      <c r="C220" s="25">
        <v>45685</v>
      </c>
      <c r="D220" s="2" t="s">
        <v>15</v>
      </c>
      <c r="E220" s="2" t="s">
        <v>16</v>
      </c>
      <c r="F220" s="2">
        <v>1188</v>
      </c>
      <c r="G220" s="2">
        <v>470</v>
      </c>
      <c r="H220" s="2">
        <v>174</v>
      </c>
      <c r="I220" s="3">
        <v>7128</v>
      </c>
      <c r="J220" s="2">
        <v>6145</v>
      </c>
      <c r="K220" s="3">
        <v>270</v>
      </c>
      <c r="L220" s="2" t="s">
        <v>25</v>
      </c>
      <c r="M220" s="2" t="s">
        <v>416</v>
      </c>
      <c r="N220" s="2" t="s">
        <v>416</v>
      </c>
      <c r="O220" s="2" t="s">
        <v>32</v>
      </c>
      <c r="P220" s="12">
        <f t="shared" si="3"/>
        <v>0.25701459034792368</v>
      </c>
    </row>
    <row r="221" spans="1:16" ht="15.75" customHeight="1">
      <c r="A221" s="2" t="s">
        <v>277</v>
      </c>
      <c r="B221" s="2" t="s">
        <v>28</v>
      </c>
      <c r="C221" s="25">
        <v>45445</v>
      </c>
      <c r="D221" s="2" t="s">
        <v>29</v>
      </c>
      <c r="E221" s="2" t="s">
        <v>30</v>
      </c>
      <c r="F221" s="2">
        <v>84</v>
      </c>
      <c r="G221" s="2">
        <v>897</v>
      </c>
      <c r="H221" s="2">
        <v>85</v>
      </c>
      <c r="I221" s="3">
        <v>588</v>
      </c>
      <c r="J221" s="2">
        <v>8</v>
      </c>
      <c r="K221" s="3">
        <v>12</v>
      </c>
      <c r="L221" s="2" t="s">
        <v>31</v>
      </c>
      <c r="M221" s="2" t="s">
        <v>416</v>
      </c>
      <c r="N221" s="2" t="s">
        <v>416</v>
      </c>
      <c r="P221" s="12">
        <f t="shared" si="3"/>
        <v>1.8129251700680271</v>
      </c>
    </row>
    <row r="222" spans="1:16" ht="15.75" customHeight="1">
      <c r="A222" s="2" t="s">
        <v>278</v>
      </c>
      <c r="B222" s="2" t="s">
        <v>36</v>
      </c>
      <c r="C222" s="25">
        <v>45739</v>
      </c>
      <c r="D222" s="2" t="s">
        <v>58</v>
      </c>
      <c r="E222" s="2" t="s">
        <v>59</v>
      </c>
      <c r="F222" s="2">
        <v>4453</v>
      </c>
      <c r="G222" s="2">
        <v>111</v>
      </c>
      <c r="H222" s="2">
        <v>420</v>
      </c>
      <c r="I222" s="3">
        <v>31171</v>
      </c>
      <c r="J222" s="2">
        <v>30565</v>
      </c>
      <c r="K222" s="3">
        <v>23</v>
      </c>
      <c r="L222" s="2" t="s">
        <v>25</v>
      </c>
      <c r="M222" s="2" t="s">
        <v>416</v>
      </c>
      <c r="N222" s="2" t="s">
        <v>416</v>
      </c>
      <c r="P222" s="12">
        <f t="shared" si="3"/>
        <v>0.15989220750056141</v>
      </c>
    </row>
    <row r="223" spans="1:16" ht="15.75" customHeight="1">
      <c r="A223" s="2" t="s">
        <v>279</v>
      </c>
      <c r="B223" s="2" t="s">
        <v>36</v>
      </c>
      <c r="C223" s="25">
        <v>45573</v>
      </c>
      <c r="D223" s="2" t="s">
        <v>15</v>
      </c>
      <c r="E223" s="2" t="s">
        <v>52</v>
      </c>
      <c r="F223" s="2">
        <v>1814</v>
      </c>
      <c r="G223" s="2">
        <v>653</v>
      </c>
      <c r="H223" s="2">
        <v>363</v>
      </c>
      <c r="I223" s="3">
        <v>25396</v>
      </c>
      <c r="J223" s="2">
        <v>25286</v>
      </c>
      <c r="K223" s="3">
        <v>39</v>
      </c>
      <c r="L223" s="2" t="s">
        <v>50</v>
      </c>
      <c r="M223" s="2" t="s">
        <v>381</v>
      </c>
      <c r="N223" s="2" t="s">
        <v>416</v>
      </c>
      <c r="O223" s="2" t="s">
        <v>17</v>
      </c>
      <c r="P223" s="12">
        <f t="shared" si="3"/>
        <v>0.11143487163332809</v>
      </c>
    </row>
    <row r="224" spans="1:16" ht="15.75" customHeight="1">
      <c r="A224" s="2" t="s">
        <v>280</v>
      </c>
      <c r="B224" s="2" t="s">
        <v>14</v>
      </c>
      <c r="C224" s="25">
        <v>45608</v>
      </c>
      <c r="D224" s="2" t="s">
        <v>43</v>
      </c>
      <c r="E224" s="2" t="s">
        <v>90</v>
      </c>
      <c r="F224" s="2">
        <v>3338</v>
      </c>
      <c r="G224" s="2">
        <v>277</v>
      </c>
      <c r="H224" s="2">
        <v>118</v>
      </c>
      <c r="I224" s="3">
        <v>60084</v>
      </c>
      <c r="J224" s="2">
        <v>59842</v>
      </c>
      <c r="K224" s="3">
        <v>252</v>
      </c>
      <c r="L224" s="2" t="s">
        <v>25</v>
      </c>
      <c r="M224" s="2" t="s">
        <v>416</v>
      </c>
      <c r="N224" s="2" t="s">
        <v>416</v>
      </c>
      <c r="P224" s="12">
        <f t="shared" si="3"/>
        <v>6.2129685107516146E-2</v>
      </c>
    </row>
    <row r="225" spans="1:16" ht="15.75" customHeight="1">
      <c r="A225" s="2" t="s">
        <v>281</v>
      </c>
      <c r="B225" s="2" t="s">
        <v>36</v>
      </c>
      <c r="C225" s="25">
        <v>45790</v>
      </c>
      <c r="D225" s="2" t="s">
        <v>43</v>
      </c>
      <c r="E225" s="2" t="s">
        <v>48</v>
      </c>
      <c r="F225" s="2">
        <v>602</v>
      </c>
      <c r="G225" s="2">
        <v>594</v>
      </c>
      <c r="H225" s="2">
        <v>156</v>
      </c>
      <c r="I225" s="3">
        <v>4214</v>
      </c>
      <c r="J225" s="2">
        <v>3363</v>
      </c>
      <c r="K225" s="3">
        <v>164</v>
      </c>
      <c r="L225" s="2" t="s">
        <v>25</v>
      </c>
      <c r="M225" s="2" t="s">
        <v>416</v>
      </c>
      <c r="N225" s="2" t="s">
        <v>416</v>
      </c>
      <c r="O225" s="2" t="s">
        <v>26</v>
      </c>
      <c r="P225" s="12">
        <f t="shared" si="3"/>
        <v>0.32083531086853345</v>
      </c>
    </row>
    <row r="226" spans="1:16" ht="15.75" customHeight="1">
      <c r="A226" s="2" t="s">
        <v>282</v>
      </c>
      <c r="B226" s="2" t="s">
        <v>14</v>
      </c>
      <c r="C226" s="25">
        <v>45463</v>
      </c>
      <c r="D226" s="2" t="s">
        <v>38</v>
      </c>
      <c r="E226" s="2" t="s">
        <v>41</v>
      </c>
      <c r="F226" s="2">
        <v>4672</v>
      </c>
      <c r="G226" s="2">
        <v>325</v>
      </c>
      <c r="H226" s="2">
        <v>32</v>
      </c>
      <c r="I226" s="3">
        <v>88768</v>
      </c>
      <c r="J226" s="2">
        <v>87833</v>
      </c>
      <c r="K226" s="3">
        <v>118</v>
      </c>
      <c r="L226" s="2" t="s">
        <v>31</v>
      </c>
      <c r="M226" s="2" t="s">
        <v>416</v>
      </c>
      <c r="N226" s="2" t="s">
        <v>416</v>
      </c>
      <c r="P226" s="12">
        <f t="shared" si="3"/>
        <v>5.6653298485940883E-2</v>
      </c>
    </row>
    <row r="227" spans="1:16" ht="15.75" customHeight="1">
      <c r="A227" s="2" t="s">
        <v>283</v>
      </c>
      <c r="B227" s="2" t="s">
        <v>28</v>
      </c>
      <c r="C227" s="25">
        <v>45511</v>
      </c>
      <c r="D227" s="2" t="s">
        <v>38</v>
      </c>
      <c r="E227" s="2" t="s">
        <v>67</v>
      </c>
      <c r="F227" s="2">
        <v>1741</v>
      </c>
      <c r="G227" s="2">
        <v>164</v>
      </c>
      <c r="H227" s="2">
        <v>318</v>
      </c>
      <c r="I227" s="3">
        <v>8705</v>
      </c>
      <c r="J227" s="2">
        <v>8272</v>
      </c>
      <c r="K227" s="3">
        <v>121</v>
      </c>
      <c r="L227" s="2" t="s">
        <v>25</v>
      </c>
      <c r="M227" s="2" t="s">
        <v>416</v>
      </c>
      <c r="N227" s="2" t="s">
        <v>416</v>
      </c>
      <c r="P227" s="12">
        <f t="shared" si="3"/>
        <v>0.25537047673750718</v>
      </c>
    </row>
    <row r="228" spans="1:16" ht="15.75" customHeight="1">
      <c r="A228" s="2" t="s">
        <v>284</v>
      </c>
      <c r="B228" s="2" t="s">
        <v>28</v>
      </c>
      <c r="C228" s="25">
        <v>45455</v>
      </c>
      <c r="D228" s="2" t="s">
        <v>19</v>
      </c>
      <c r="E228" s="2" t="s">
        <v>80</v>
      </c>
      <c r="F228" s="2">
        <v>246</v>
      </c>
      <c r="G228" s="2">
        <v>149</v>
      </c>
      <c r="H228" s="2">
        <v>130</v>
      </c>
      <c r="I228" s="3">
        <v>4674</v>
      </c>
      <c r="J228" s="2">
        <v>4390</v>
      </c>
      <c r="K228" s="3">
        <v>217</v>
      </c>
      <c r="L228" s="2" t="s">
        <v>50</v>
      </c>
      <c r="M228" s="2" t="s">
        <v>416</v>
      </c>
      <c r="N228" s="2" t="s">
        <v>416</v>
      </c>
      <c r="O228" s="2" t="s">
        <v>26</v>
      </c>
      <c r="P228" s="12">
        <f t="shared" si="3"/>
        <v>0.11232349165596919</v>
      </c>
    </row>
    <row r="229" spans="1:16" ht="15.75" customHeight="1">
      <c r="A229" s="2" t="s">
        <v>285</v>
      </c>
      <c r="B229" s="2" t="s">
        <v>28</v>
      </c>
      <c r="C229" s="25">
        <v>45474</v>
      </c>
      <c r="D229" s="2" t="s">
        <v>29</v>
      </c>
      <c r="E229" s="2" t="s">
        <v>30</v>
      </c>
      <c r="F229" s="2">
        <v>4808</v>
      </c>
      <c r="G229" s="2">
        <v>772</v>
      </c>
      <c r="H229" s="2">
        <v>320</v>
      </c>
      <c r="I229" s="3">
        <v>72120</v>
      </c>
      <c r="J229" s="2">
        <v>71696</v>
      </c>
      <c r="K229" s="3">
        <v>195</v>
      </c>
      <c r="L229" s="2" t="s">
        <v>31</v>
      </c>
      <c r="M229" s="2" t="s">
        <v>416</v>
      </c>
      <c r="N229" s="2" t="s">
        <v>416</v>
      </c>
      <c r="O229" s="2" t="s">
        <v>17</v>
      </c>
      <c r="P229" s="12">
        <f t="shared" si="3"/>
        <v>8.1808097615085965E-2</v>
      </c>
    </row>
    <row r="230" spans="1:16" ht="15.75" customHeight="1">
      <c r="A230" s="2" t="s">
        <v>286</v>
      </c>
      <c r="B230" s="2" t="s">
        <v>28</v>
      </c>
      <c r="C230" s="25">
        <v>45476</v>
      </c>
      <c r="D230" s="2" t="s">
        <v>38</v>
      </c>
      <c r="E230" s="2" t="s">
        <v>67</v>
      </c>
      <c r="F230" s="2">
        <v>4799</v>
      </c>
      <c r="G230" s="2">
        <v>694</v>
      </c>
      <c r="H230" s="2">
        <v>289</v>
      </c>
      <c r="I230" s="3">
        <v>43191</v>
      </c>
      <c r="J230" s="2">
        <v>42228</v>
      </c>
      <c r="K230" s="3">
        <v>118</v>
      </c>
      <c r="L230" s="2" t="s">
        <v>25</v>
      </c>
      <c r="M230" s="2" t="s">
        <v>416</v>
      </c>
      <c r="N230" s="2" t="s">
        <v>416</v>
      </c>
      <c r="P230" s="12">
        <f t="shared" si="3"/>
        <v>0.13387048227640017</v>
      </c>
    </row>
    <row r="231" spans="1:16" ht="15.75" customHeight="1">
      <c r="A231" s="2" t="s">
        <v>287</v>
      </c>
      <c r="B231" s="2" t="s">
        <v>36</v>
      </c>
      <c r="C231" s="25">
        <v>45488</v>
      </c>
      <c r="D231" s="2" t="s">
        <v>15</v>
      </c>
      <c r="E231" s="2" t="s">
        <v>52</v>
      </c>
      <c r="F231" s="2">
        <v>3663</v>
      </c>
      <c r="G231" s="2">
        <v>17</v>
      </c>
      <c r="H231" s="2">
        <v>295</v>
      </c>
      <c r="I231" s="3">
        <v>51282</v>
      </c>
      <c r="J231" s="2">
        <v>50567</v>
      </c>
      <c r="K231" s="3">
        <v>84</v>
      </c>
      <c r="L231" s="2" t="s">
        <v>31</v>
      </c>
      <c r="M231" s="2" t="s">
        <v>416</v>
      </c>
      <c r="N231" s="2" t="s">
        <v>416</v>
      </c>
      <c r="O231" s="2" t="s">
        <v>26</v>
      </c>
      <c r="P231" s="12">
        <f t="shared" si="3"/>
        <v>7.7512577512577507E-2</v>
      </c>
    </row>
    <row r="232" spans="1:16" ht="15.75" customHeight="1">
      <c r="A232" s="2" t="s">
        <v>288</v>
      </c>
      <c r="B232" s="2" t="s">
        <v>28</v>
      </c>
      <c r="C232" s="25">
        <v>45778</v>
      </c>
      <c r="D232" s="2" t="s">
        <v>19</v>
      </c>
      <c r="E232" s="2" t="s">
        <v>80</v>
      </c>
      <c r="F232" s="2">
        <v>1430</v>
      </c>
      <c r="G232" s="2">
        <v>376</v>
      </c>
      <c r="H232" s="2">
        <v>33</v>
      </c>
      <c r="I232" s="3">
        <v>21450</v>
      </c>
      <c r="J232" s="2">
        <v>20509</v>
      </c>
      <c r="K232" s="3">
        <v>251</v>
      </c>
      <c r="L232" s="2" t="s">
        <v>50</v>
      </c>
      <c r="M232" s="2" t="s">
        <v>416</v>
      </c>
      <c r="N232" s="2" t="s">
        <v>416</v>
      </c>
      <c r="O232" s="2" t="s">
        <v>17</v>
      </c>
      <c r="P232" s="12">
        <f t="shared" si="3"/>
        <v>8.5734265734265735E-2</v>
      </c>
    </row>
    <row r="233" spans="1:16" ht="15.75" customHeight="1">
      <c r="A233" s="2" t="s">
        <v>289</v>
      </c>
      <c r="B233" s="2" t="s">
        <v>14</v>
      </c>
      <c r="C233" s="25">
        <v>45776</v>
      </c>
      <c r="D233" s="2" t="s">
        <v>29</v>
      </c>
      <c r="E233" s="2" t="s">
        <v>100</v>
      </c>
      <c r="F233" s="2">
        <v>249</v>
      </c>
      <c r="G233" s="2">
        <v>592</v>
      </c>
      <c r="H233" s="2">
        <v>230</v>
      </c>
      <c r="I233" s="3">
        <v>1494</v>
      </c>
      <c r="J233" s="2">
        <v>1044</v>
      </c>
      <c r="K233" s="3">
        <v>201</v>
      </c>
      <c r="L233" s="2" t="s">
        <v>31</v>
      </c>
      <c r="M233" s="2" t="s">
        <v>416</v>
      </c>
      <c r="N233" s="2" t="s">
        <v>416</v>
      </c>
      <c r="O233" s="2" t="s">
        <v>32</v>
      </c>
      <c r="P233" s="12">
        <f t="shared" si="3"/>
        <v>0.7168674698795181</v>
      </c>
    </row>
    <row r="234" spans="1:16" ht="15.75" customHeight="1">
      <c r="A234" s="2" t="s">
        <v>290</v>
      </c>
      <c r="B234" s="2" t="s">
        <v>36</v>
      </c>
      <c r="C234" s="25">
        <v>45724</v>
      </c>
      <c r="D234" s="2" t="s">
        <v>43</v>
      </c>
      <c r="E234" s="2" t="s">
        <v>48</v>
      </c>
      <c r="F234" s="2">
        <v>2382</v>
      </c>
      <c r="G234" s="2">
        <v>265</v>
      </c>
      <c r="H234" s="2">
        <v>134</v>
      </c>
      <c r="I234" s="3">
        <v>38112</v>
      </c>
      <c r="J234" s="2">
        <v>37437</v>
      </c>
      <c r="K234" s="3">
        <v>249</v>
      </c>
      <c r="L234" s="2" t="s">
        <v>50</v>
      </c>
      <c r="M234" s="2" t="s">
        <v>416</v>
      </c>
      <c r="N234" s="2" t="s">
        <v>416</v>
      </c>
      <c r="O234" s="2" t="s">
        <v>32</v>
      </c>
      <c r="P234" s="12">
        <f t="shared" si="3"/>
        <v>7.2969143576826198E-2</v>
      </c>
    </row>
    <row r="235" spans="1:16" ht="15.75" customHeight="1">
      <c r="A235" s="2" t="s">
        <v>291</v>
      </c>
      <c r="B235" s="2" t="s">
        <v>36</v>
      </c>
      <c r="C235" s="25">
        <v>45444</v>
      </c>
      <c r="D235" s="2" t="s">
        <v>19</v>
      </c>
      <c r="E235" s="2" t="s">
        <v>46</v>
      </c>
      <c r="F235" s="2">
        <v>1272</v>
      </c>
      <c r="G235" s="2">
        <v>465</v>
      </c>
      <c r="H235" s="2">
        <v>99</v>
      </c>
      <c r="I235" s="3">
        <v>24168</v>
      </c>
      <c r="J235" s="2">
        <v>23719</v>
      </c>
      <c r="K235" s="3">
        <v>42</v>
      </c>
      <c r="L235" s="2" t="s">
        <v>25</v>
      </c>
      <c r="M235" s="2" t="s">
        <v>416</v>
      </c>
      <c r="N235" s="2" t="s">
        <v>416</v>
      </c>
      <c r="P235" s="12">
        <f t="shared" si="3"/>
        <v>7.5968222442899705E-2</v>
      </c>
    </row>
    <row r="236" spans="1:16" ht="15.75" customHeight="1">
      <c r="A236" s="2" t="s">
        <v>292</v>
      </c>
      <c r="B236" s="2" t="s">
        <v>36</v>
      </c>
      <c r="C236" s="25">
        <v>45648</v>
      </c>
      <c r="D236" s="2" t="s">
        <v>43</v>
      </c>
      <c r="E236" s="2" t="s">
        <v>48</v>
      </c>
      <c r="F236" s="2">
        <v>3196</v>
      </c>
      <c r="G236" s="2">
        <v>941</v>
      </c>
      <c r="H236" s="2">
        <v>376</v>
      </c>
      <c r="I236" s="3">
        <v>35156</v>
      </c>
      <c r="J236" s="2">
        <v>34444</v>
      </c>
      <c r="K236" s="3">
        <v>241</v>
      </c>
      <c r="L236" s="2" t="s">
        <v>25</v>
      </c>
      <c r="M236" s="2" t="s">
        <v>416</v>
      </c>
      <c r="N236" s="2" t="s">
        <v>416</v>
      </c>
      <c r="O236" s="2" t="s">
        <v>26</v>
      </c>
      <c r="P236" s="12">
        <f t="shared" si="3"/>
        <v>0.1283706906360223</v>
      </c>
    </row>
    <row r="237" spans="1:16" ht="15.75" customHeight="1">
      <c r="A237" s="2" t="s">
        <v>293</v>
      </c>
      <c r="B237" s="2" t="s">
        <v>36</v>
      </c>
      <c r="C237" s="25">
        <v>45523</v>
      </c>
      <c r="D237" s="2" t="s">
        <v>19</v>
      </c>
      <c r="E237" s="2" t="s">
        <v>46</v>
      </c>
      <c r="F237" s="2">
        <v>1257</v>
      </c>
      <c r="G237" s="2">
        <v>19</v>
      </c>
      <c r="H237" s="2">
        <v>351</v>
      </c>
      <c r="I237" s="3">
        <v>12570</v>
      </c>
      <c r="J237" s="2">
        <v>11660</v>
      </c>
      <c r="K237" s="3">
        <v>194</v>
      </c>
      <c r="L237" s="2" t="s">
        <v>50</v>
      </c>
      <c r="M237" s="2" t="s">
        <v>386</v>
      </c>
      <c r="N237" s="2" t="s">
        <v>31</v>
      </c>
      <c r="O237" s="2" t="s">
        <v>21</v>
      </c>
      <c r="P237" s="12">
        <f t="shared" si="3"/>
        <v>0.12943516308671441</v>
      </c>
    </row>
    <row r="238" spans="1:16" ht="15.75" customHeight="1">
      <c r="A238" s="2" t="s">
        <v>294</v>
      </c>
      <c r="B238" s="2" t="s">
        <v>28</v>
      </c>
      <c r="C238" s="25">
        <v>45587</v>
      </c>
      <c r="D238" s="2" t="s">
        <v>29</v>
      </c>
      <c r="E238" s="2" t="s">
        <v>30</v>
      </c>
      <c r="F238" s="2">
        <v>3770</v>
      </c>
      <c r="G238" s="2">
        <v>917</v>
      </c>
      <c r="H238" s="2">
        <v>129</v>
      </c>
      <c r="I238" s="3">
        <v>71630</v>
      </c>
      <c r="J238" s="2">
        <v>71322</v>
      </c>
      <c r="K238" s="3">
        <v>76</v>
      </c>
      <c r="L238" s="2" t="s">
        <v>50</v>
      </c>
      <c r="M238" s="2" t="s">
        <v>416</v>
      </c>
      <c r="N238" s="2" t="s">
        <v>416</v>
      </c>
      <c r="O238" s="2" t="s">
        <v>17</v>
      </c>
      <c r="P238" s="12">
        <f t="shared" si="3"/>
        <v>6.7234398994834563E-2</v>
      </c>
    </row>
    <row r="239" spans="1:16" ht="15.75" customHeight="1">
      <c r="A239" s="2" t="s">
        <v>295</v>
      </c>
      <c r="B239" s="2" t="s">
        <v>14</v>
      </c>
      <c r="C239" s="25">
        <v>45489</v>
      </c>
      <c r="D239" s="2" t="s">
        <v>19</v>
      </c>
      <c r="E239" s="2" t="s">
        <v>20</v>
      </c>
      <c r="F239" s="2">
        <v>4725</v>
      </c>
      <c r="G239" s="2">
        <v>400</v>
      </c>
      <c r="H239" s="2">
        <v>362</v>
      </c>
      <c r="I239" s="3">
        <v>75600</v>
      </c>
      <c r="J239" s="2">
        <v>74927</v>
      </c>
      <c r="K239" s="3">
        <v>43</v>
      </c>
      <c r="L239" s="2" t="s">
        <v>50</v>
      </c>
      <c r="M239" s="2" t="s">
        <v>416</v>
      </c>
      <c r="N239" s="2" t="s">
        <v>416</v>
      </c>
      <c r="O239" s="2" t="s">
        <v>32</v>
      </c>
      <c r="P239" s="12">
        <f t="shared" si="3"/>
        <v>7.2579365079365077E-2</v>
      </c>
    </row>
    <row r="240" spans="1:16" ht="15.75" customHeight="1">
      <c r="A240" s="2" t="s">
        <v>296</v>
      </c>
      <c r="B240" s="2" t="s">
        <v>23</v>
      </c>
      <c r="C240" s="25">
        <v>45712</v>
      </c>
      <c r="D240" s="2" t="s">
        <v>19</v>
      </c>
      <c r="E240" s="2" t="s">
        <v>75</v>
      </c>
      <c r="F240" s="2">
        <v>4188</v>
      </c>
      <c r="G240" s="2">
        <v>942</v>
      </c>
      <c r="H240" s="2">
        <v>118</v>
      </c>
      <c r="I240" s="3">
        <v>20940</v>
      </c>
      <c r="J240" s="2">
        <v>20471</v>
      </c>
      <c r="K240" s="3">
        <v>102</v>
      </c>
      <c r="L240" s="2" t="s">
        <v>50</v>
      </c>
      <c r="M240" s="2" t="s">
        <v>416</v>
      </c>
      <c r="N240" s="2" t="s">
        <v>416</v>
      </c>
      <c r="P240" s="12">
        <f t="shared" si="3"/>
        <v>0.25062082139446035</v>
      </c>
    </row>
    <row r="241" spans="1:16" ht="15.75" customHeight="1">
      <c r="A241" s="2" t="s">
        <v>297</v>
      </c>
      <c r="B241" s="2" t="s">
        <v>14</v>
      </c>
      <c r="C241" s="25">
        <v>45530</v>
      </c>
      <c r="D241" s="2" t="s">
        <v>38</v>
      </c>
      <c r="E241" s="2" t="s">
        <v>41</v>
      </c>
      <c r="F241" s="2">
        <v>929</v>
      </c>
      <c r="G241" s="2">
        <v>192</v>
      </c>
      <c r="H241" s="2">
        <v>322</v>
      </c>
      <c r="I241" s="3">
        <v>16722</v>
      </c>
      <c r="J241" s="2">
        <v>15996</v>
      </c>
      <c r="K241" s="3">
        <v>145</v>
      </c>
      <c r="L241" s="2" t="s">
        <v>31</v>
      </c>
      <c r="M241" s="2" t="s">
        <v>25</v>
      </c>
      <c r="N241" s="2" t="s">
        <v>386</v>
      </c>
      <c r="O241" s="2" t="s">
        <v>26</v>
      </c>
      <c r="P241" s="12">
        <f t="shared" si="3"/>
        <v>8.6293505561535699E-2</v>
      </c>
    </row>
    <row r="242" spans="1:16" ht="15.75" customHeight="1">
      <c r="A242" s="2" t="s">
        <v>298</v>
      </c>
      <c r="B242" s="2" t="s">
        <v>36</v>
      </c>
      <c r="C242" s="25">
        <v>45675</v>
      </c>
      <c r="D242" s="2" t="s">
        <v>29</v>
      </c>
      <c r="E242" s="2" t="s">
        <v>56</v>
      </c>
      <c r="F242" s="2">
        <v>4321</v>
      </c>
      <c r="G242" s="2">
        <v>874</v>
      </c>
      <c r="H242" s="2">
        <v>172</v>
      </c>
      <c r="I242" s="3">
        <v>30247</v>
      </c>
      <c r="J242" s="2">
        <v>29254</v>
      </c>
      <c r="K242" s="3">
        <v>122</v>
      </c>
      <c r="L242" s="2" t="s">
        <v>25</v>
      </c>
      <c r="M242" s="2" t="s">
        <v>416</v>
      </c>
      <c r="N242" s="2" t="s">
        <v>416</v>
      </c>
      <c r="O242" s="2" t="s">
        <v>32</v>
      </c>
      <c r="P242" s="12">
        <f t="shared" si="3"/>
        <v>0.17743908486792079</v>
      </c>
    </row>
    <row r="243" spans="1:16" ht="15.75" customHeight="1">
      <c r="A243" s="2" t="s">
        <v>299</v>
      </c>
      <c r="B243" s="2" t="s">
        <v>36</v>
      </c>
      <c r="C243" s="25">
        <v>45480</v>
      </c>
      <c r="D243" s="2" t="s">
        <v>15</v>
      </c>
      <c r="E243" s="2" t="s">
        <v>52</v>
      </c>
      <c r="F243" s="2">
        <v>4767</v>
      </c>
      <c r="G243" s="2">
        <v>190</v>
      </c>
      <c r="H243" s="2">
        <v>340</v>
      </c>
      <c r="I243" s="3">
        <v>28602</v>
      </c>
      <c r="J243" s="2">
        <v>28044</v>
      </c>
      <c r="K243" s="3">
        <v>210</v>
      </c>
      <c r="L243" s="2" t="s">
        <v>31</v>
      </c>
      <c r="M243" s="2" t="s">
        <v>416</v>
      </c>
      <c r="N243" s="2" t="s">
        <v>416</v>
      </c>
      <c r="O243" s="2" t="s">
        <v>26</v>
      </c>
      <c r="P243" s="12">
        <f t="shared" si="3"/>
        <v>0.18519683938186141</v>
      </c>
    </row>
    <row r="244" spans="1:16" ht="15.75" customHeight="1">
      <c r="A244" s="2" t="s">
        <v>300</v>
      </c>
      <c r="B244" s="2" t="s">
        <v>14</v>
      </c>
      <c r="C244" s="25">
        <v>45722</v>
      </c>
      <c r="D244" s="2" t="s">
        <v>43</v>
      </c>
      <c r="E244" s="2" t="s">
        <v>90</v>
      </c>
      <c r="F244" s="2">
        <v>3592</v>
      </c>
      <c r="G244" s="2">
        <v>911</v>
      </c>
      <c r="H244" s="2">
        <v>375</v>
      </c>
      <c r="I244" s="3">
        <v>50288</v>
      </c>
      <c r="J244" s="2">
        <v>49490</v>
      </c>
      <c r="K244" s="3">
        <v>32</v>
      </c>
      <c r="L244" s="2" t="s">
        <v>50</v>
      </c>
      <c r="M244" s="2" t="s">
        <v>416</v>
      </c>
      <c r="N244" s="2" t="s">
        <v>416</v>
      </c>
      <c r="O244" s="2" t="s">
        <v>32</v>
      </c>
      <c r="P244" s="12">
        <f t="shared" si="3"/>
        <v>9.7001272669424113E-2</v>
      </c>
    </row>
    <row r="245" spans="1:16" ht="15.75" customHeight="1">
      <c r="A245" s="2" t="s">
        <v>301</v>
      </c>
      <c r="B245" s="2" t="s">
        <v>23</v>
      </c>
      <c r="C245" s="25">
        <v>45590</v>
      </c>
      <c r="D245" s="2" t="s">
        <v>58</v>
      </c>
      <c r="E245" s="2" t="s">
        <v>138</v>
      </c>
      <c r="F245" s="2">
        <v>4661</v>
      </c>
      <c r="G245" s="2">
        <v>935</v>
      </c>
      <c r="H245" s="2">
        <v>433</v>
      </c>
      <c r="I245" s="3">
        <v>23305</v>
      </c>
      <c r="J245" s="2">
        <v>22583</v>
      </c>
      <c r="K245" s="3">
        <v>63</v>
      </c>
      <c r="L245" s="2" t="s">
        <v>50</v>
      </c>
      <c r="M245" s="2" t="s">
        <v>416</v>
      </c>
      <c r="N245" s="2" t="s">
        <v>416</v>
      </c>
      <c r="O245" s="2" t="s">
        <v>26</v>
      </c>
      <c r="P245" s="12">
        <f t="shared" si="3"/>
        <v>0.25869984981763572</v>
      </c>
    </row>
    <row r="246" spans="1:16" ht="15.75" customHeight="1">
      <c r="A246" s="2" t="s">
        <v>302</v>
      </c>
      <c r="B246" s="2" t="s">
        <v>36</v>
      </c>
      <c r="C246" s="25">
        <v>45669</v>
      </c>
      <c r="D246" s="2" t="s">
        <v>15</v>
      </c>
      <c r="E246" s="2" t="s">
        <v>52</v>
      </c>
      <c r="F246" s="2">
        <v>4134</v>
      </c>
      <c r="G246" s="2">
        <v>824</v>
      </c>
      <c r="H246" s="2">
        <v>99</v>
      </c>
      <c r="I246" s="3">
        <v>41340</v>
      </c>
      <c r="J246" s="2">
        <v>41050</v>
      </c>
      <c r="K246" s="3">
        <v>177</v>
      </c>
      <c r="L246" s="2" t="s">
        <v>31</v>
      </c>
      <c r="M246" s="2" t="s">
        <v>416</v>
      </c>
      <c r="N246" s="2" t="s">
        <v>416</v>
      </c>
      <c r="O246" s="2" t="s">
        <v>17</v>
      </c>
      <c r="P246" s="12">
        <f t="shared" si="3"/>
        <v>0.12232704402515723</v>
      </c>
    </row>
    <row r="247" spans="1:16" ht="15.75" customHeight="1">
      <c r="A247" s="2" t="s">
        <v>303</v>
      </c>
      <c r="B247" s="2" t="s">
        <v>36</v>
      </c>
      <c r="C247" s="25">
        <v>45576</v>
      </c>
      <c r="D247" s="2" t="s">
        <v>43</v>
      </c>
      <c r="E247" s="2" t="s">
        <v>48</v>
      </c>
      <c r="F247" s="2">
        <v>400</v>
      </c>
      <c r="G247" s="2">
        <v>680</v>
      </c>
      <c r="H247" s="2">
        <v>434</v>
      </c>
      <c r="I247" s="3">
        <v>6400</v>
      </c>
      <c r="J247" s="2">
        <v>5472</v>
      </c>
      <c r="K247" s="3">
        <v>160</v>
      </c>
      <c r="L247" s="2" t="s">
        <v>50</v>
      </c>
      <c r="M247" s="2" t="s">
        <v>416</v>
      </c>
      <c r="N247" s="2" t="s">
        <v>416</v>
      </c>
      <c r="O247" s="2" t="s">
        <v>21</v>
      </c>
      <c r="P247" s="12">
        <f t="shared" si="3"/>
        <v>0.23656250000000001</v>
      </c>
    </row>
    <row r="248" spans="1:16" ht="15.75" customHeight="1">
      <c r="A248" s="2" t="s">
        <v>304</v>
      </c>
      <c r="B248" s="2" t="s">
        <v>36</v>
      </c>
      <c r="C248" s="25">
        <v>45531</v>
      </c>
      <c r="D248" s="2" t="s">
        <v>15</v>
      </c>
      <c r="E248" s="2" t="s">
        <v>52</v>
      </c>
      <c r="F248" s="2">
        <v>3960</v>
      </c>
      <c r="G248" s="2">
        <v>266</v>
      </c>
      <c r="H248" s="2">
        <v>8</v>
      </c>
      <c r="I248" s="3">
        <v>35640</v>
      </c>
      <c r="J248" s="2">
        <v>34850</v>
      </c>
      <c r="K248" s="3">
        <v>208</v>
      </c>
      <c r="L248" s="2" t="s">
        <v>50</v>
      </c>
      <c r="M248" s="2" t="s">
        <v>31</v>
      </c>
      <c r="N248" s="2" t="s">
        <v>387</v>
      </c>
      <c r="P248" s="12">
        <f t="shared" si="3"/>
        <v>0.11879910213243547</v>
      </c>
    </row>
    <row r="249" spans="1:16" ht="15.75" customHeight="1">
      <c r="A249" s="2" t="s">
        <v>305</v>
      </c>
      <c r="B249" s="2" t="s">
        <v>36</v>
      </c>
      <c r="C249" s="25">
        <v>45690</v>
      </c>
      <c r="D249" s="2" t="s">
        <v>29</v>
      </c>
      <c r="E249" s="2" t="s">
        <v>56</v>
      </c>
      <c r="F249" s="2">
        <v>886</v>
      </c>
      <c r="G249" s="2">
        <v>126</v>
      </c>
      <c r="H249" s="2">
        <v>153</v>
      </c>
      <c r="I249" s="3">
        <v>4430</v>
      </c>
      <c r="J249" s="2">
        <v>4037</v>
      </c>
      <c r="K249" s="3">
        <v>212</v>
      </c>
      <c r="L249" s="2" t="s">
        <v>31</v>
      </c>
      <c r="M249" s="2" t="s">
        <v>416</v>
      </c>
      <c r="N249" s="2" t="s">
        <v>416</v>
      </c>
      <c r="P249" s="12">
        <f t="shared" si="3"/>
        <v>0.26297968397291194</v>
      </c>
    </row>
    <row r="250" spans="1:16" ht="15.75" customHeight="1">
      <c r="A250" s="2" t="s">
        <v>306</v>
      </c>
      <c r="B250" s="2" t="s">
        <v>14</v>
      </c>
      <c r="C250" s="25">
        <v>45491</v>
      </c>
      <c r="D250" s="2" t="s">
        <v>43</v>
      </c>
      <c r="E250" s="2" t="s">
        <v>90</v>
      </c>
      <c r="F250" s="2">
        <v>827</v>
      </c>
      <c r="G250" s="2">
        <v>77</v>
      </c>
      <c r="H250" s="2">
        <v>402</v>
      </c>
      <c r="I250" s="3">
        <v>14886</v>
      </c>
      <c r="J250" s="2">
        <v>14129</v>
      </c>
      <c r="K250" s="3">
        <v>254</v>
      </c>
      <c r="L250" s="2" t="s">
        <v>31</v>
      </c>
      <c r="M250" s="2" t="s">
        <v>416</v>
      </c>
      <c r="N250" s="2" t="s">
        <v>416</v>
      </c>
      <c r="O250" s="2" t="s">
        <v>21</v>
      </c>
      <c r="P250" s="12">
        <f t="shared" si="3"/>
        <v>8.7733440816874911E-2</v>
      </c>
    </row>
    <row r="251" spans="1:16" ht="15.75" customHeight="1">
      <c r="A251" s="2" t="s">
        <v>307</v>
      </c>
      <c r="B251" s="2" t="s">
        <v>36</v>
      </c>
      <c r="C251" s="25">
        <v>45465</v>
      </c>
      <c r="D251" s="2" t="s">
        <v>15</v>
      </c>
      <c r="E251" s="2" t="s">
        <v>52</v>
      </c>
      <c r="F251" s="2">
        <v>3813</v>
      </c>
      <c r="G251" s="2">
        <v>935</v>
      </c>
      <c r="H251" s="2">
        <v>274</v>
      </c>
      <c r="I251" s="3">
        <v>68634</v>
      </c>
      <c r="J251" s="2">
        <v>68488</v>
      </c>
      <c r="K251" s="3">
        <v>251</v>
      </c>
      <c r="L251" s="2" t="s">
        <v>50</v>
      </c>
      <c r="M251" s="2" t="s">
        <v>416</v>
      </c>
      <c r="N251" s="2" t="s">
        <v>416</v>
      </c>
      <c r="P251" s="12">
        <f t="shared" si="3"/>
        <v>7.3170731707317069E-2</v>
      </c>
    </row>
    <row r="252" spans="1:16" ht="15.75" customHeight="1">
      <c r="A252" s="2" t="s">
        <v>308</v>
      </c>
      <c r="B252" s="2" t="s">
        <v>28</v>
      </c>
      <c r="C252" s="25">
        <v>45743</v>
      </c>
      <c r="D252" s="2" t="s">
        <v>38</v>
      </c>
      <c r="E252" s="2" t="s">
        <v>67</v>
      </c>
      <c r="F252" s="2">
        <v>1377</v>
      </c>
      <c r="G252" s="2">
        <v>796</v>
      </c>
      <c r="H252" s="2">
        <v>387</v>
      </c>
      <c r="I252" s="3">
        <v>22032</v>
      </c>
      <c r="J252" s="2">
        <v>21869</v>
      </c>
      <c r="K252" s="3">
        <v>189</v>
      </c>
      <c r="L252" s="2" t="s">
        <v>50</v>
      </c>
      <c r="M252" s="2" t="s">
        <v>416</v>
      </c>
      <c r="N252" s="2" t="s">
        <v>416</v>
      </c>
      <c r="P252" s="12">
        <f t="shared" si="3"/>
        <v>0.11619462599854757</v>
      </c>
    </row>
    <row r="253" spans="1:16" ht="15.75" customHeight="1">
      <c r="A253" s="2" t="s">
        <v>309</v>
      </c>
      <c r="B253" s="2" t="s">
        <v>36</v>
      </c>
      <c r="C253" s="25">
        <v>45775</v>
      </c>
      <c r="D253" s="2" t="s">
        <v>38</v>
      </c>
      <c r="E253" s="2" t="s">
        <v>39</v>
      </c>
      <c r="F253" s="2">
        <v>2089</v>
      </c>
      <c r="G253" s="2">
        <v>476</v>
      </c>
      <c r="H253" s="2">
        <v>69</v>
      </c>
      <c r="I253" s="3">
        <v>16712</v>
      </c>
      <c r="J253" s="2">
        <v>16309</v>
      </c>
      <c r="K253" s="3">
        <v>64</v>
      </c>
      <c r="L253" s="2" t="s">
        <v>50</v>
      </c>
      <c r="M253" s="2" t="s">
        <v>416</v>
      </c>
      <c r="N253" s="2" t="s">
        <v>416</v>
      </c>
      <c r="O253" s="2" t="s">
        <v>26</v>
      </c>
      <c r="P253" s="12">
        <f t="shared" si="3"/>
        <v>0.15761129727142173</v>
      </c>
    </row>
    <row r="254" spans="1:16" ht="15.75" customHeight="1">
      <c r="A254" s="2" t="s">
        <v>310</v>
      </c>
      <c r="B254" s="2" t="s">
        <v>14</v>
      </c>
      <c r="C254" s="25">
        <v>45507</v>
      </c>
      <c r="D254" s="2" t="s">
        <v>15</v>
      </c>
      <c r="E254" s="2" t="s">
        <v>16</v>
      </c>
      <c r="F254" s="2">
        <v>3791</v>
      </c>
      <c r="G254" s="2">
        <v>593</v>
      </c>
      <c r="H254" s="2">
        <v>228</v>
      </c>
      <c r="I254" s="3">
        <v>53074</v>
      </c>
      <c r="J254" s="2">
        <v>52613</v>
      </c>
      <c r="K254" s="3">
        <v>205</v>
      </c>
      <c r="L254" s="2" t="s">
        <v>31</v>
      </c>
      <c r="M254" s="2" t="s">
        <v>416</v>
      </c>
      <c r="N254" s="2" t="s">
        <v>416</v>
      </c>
      <c r="P254" s="12">
        <f t="shared" si="3"/>
        <v>8.6897539284772202E-2</v>
      </c>
    </row>
    <row r="255" spans="1:16" ht="15.75" customHeight="1">
      <c r="A255" s="2" t="s">
        <v>311</v>
      </c>
      <c r="B255" s="2" t="s">
        <v>14</v>
      </c>
      <c r="C255" s="25">
        <v>45671</v>
      </c>
      <c r="D255" s="2" t="s">
        <v>43</v>
      </c>
      <c r="E255" s="2" t="s">
        <v>90</v>
      </c>
      <c r="F255" s="2">
        <v>2692</v>
      </c>
      <c r="G255" s="2">
        <v>115</v>
      </c>
      <c r="H255" s="2">
        <v>64</v>
      </c>
      <c r="I255" s="3">
        <v>21536</v>
      </c>
      <c r="J255" s="2">
        <v>21120</v>
      </c>
      <c r="K255" s="3">
        <v>224</v>
      </c>
      <c r="L255" s="2" t="s">
        <v>50</v>
      </c>
      <c r="M255" s="2" t="s">
        <v>416</v>
      </c>
      <c r="N255" s="2" t="s">
        <v>416</v>
      </c>
      <c r="O255" s="2" t="s">
        <v>21</v>
      </c>
      <c r="P255" s="12">
        <f t="shared" si="3"/>
        <v>0.13331166419019316</v>
      </c>
    </row>
    <row r="256" spans="1:16" ht="15.75" customHeight="1">
      <c r="A256" s="2" t="s">
        <v>312</v>
      </c>
      <c r="B256" s="2" t="s">
        <v>36</v>
      </c>
      <c r="C256" s="25">
        <v>45750</v>
      </c>
      <c r="D256" s="2" t="s">
        <v>29</v>
      </c>
      <c r="E256" s="2" t="s">
        <v>56</v>
      </c>
      <c r="F256" s="2">
        <v>3767</v>
      </c>
      <c r="G256" s="2">
        <v>514</v>
      </c>
      <c r="H256" s="2">
        <v>238</v>
      </c>
      <c r="I256" s="3">
        <v>37670</v>
      </c>
      <c r="J256" s="2">
        <v>36807</v>
      </c>
      <c r="K256" s="3">
        <v>226</v>
      </c>
      <c r="L256" s="2" t="s">
        <v>50</v>
      </c>
      <c r="M256" s="2" t="s">
        <v>416</v>
      </c>
      <c r="N256" s="2" t="s">
        <v>416</v>
      </c>
      <c r="O256" s="2" t="s">
        <v>32</v>
      </c>
      <c r="P256" s="12">
        <f t="shared" si="3"/>
        <v>0.11996283514733209</v>
      </c>
    </row>
    <row r="257" spans="1:16" ht="15.75" customHeight="1">
      <c r="A257" s="2" t="s">
        <v>313</v>
      </c>
      <c r="B257" s="2" t="s">
        <v>23</v>
      </c>
      <c r="C257" s="25">
        <v>45553</v>
      </c>
      <c r="D257" s="2" t="s">
        <v>38</v>
      </c>
      <c r="E257" s="2" t="s">
        <v>54</v>
      </c>
      <c r="F257" s="2">
        <v>2143</v>
      </c>
      <c r="G257" s="2">
        <v>12</v>
      </c>
      <c r="H257" s="2">
        <v>204</v>
      </c>
      <c r="I257" s="3">
        <v>40717</v>
      </c>
      <c r="J257" s="2">
        <v>40125</v>
      </c>
      <c r="K257" s="3">
        <v>248</v>
      </c>
      <c r="L257" s="2" t="s">
        <v>31</v>
      </c>
      <c r="M257" s="2" t="s">
        <v>416</v>
      </c>
      <c r="N257" s="2" t="s">
        <v>416</v>
      </c>
      <c r="O257" s="2" t="s">
        <v>21</v>
      </c>
      <c r="P257" s="12">
        <f t="shared" si="3"/>
        <v>5.7936488444630008E-2</v>
      </c>
    </row>
    <row r="258" spans="1:16" ht="15.75" customHeight="1">
      <c r="A258" s="2" t="s">
        <v>314</v>
      </c>
      <c r="B258" s="2" t="s">
        <v>36</v>
      </c>
      <c r="C258" s="25">
        <v>45753</v>
      </c>
      <c r="D258" s="2" t="s">
        <v>43</v>
      </c>
      <c r="E258" s="2" t="s">
        <v>48</v>
      </c>
      <c r="F258" s="2">
        <v>3090</v>
      </c>
      <c r="G258" s="2">
        <v>697</v>
      </c>
      <c r="H258" s="2">
        <v>164</v>
      </c>
      <c r="I258" s="3">
        <v>49440</v>
      </c>
      <c r="J258" s="2">
        <v>48524</v>
      </c>
      <c r="K258" s="3">
        <v>25</v>
      </c>
      <c r="L258" s="2" t="s">
        <v>31</v>
      </c>
      <c r="M258" s="2" t="s">
        <v>31</v>
      </c>
      <c r="N258" s="2" t="s">
        <v>387</v>
      </c>
      <c r="O258" s="2" t="s">
        <v>21</v>
      </c>
      <c r="P258" s="12">
        <f t="shared" si="3"/>
        <v>7.9915048543689318E-2</v>
      </c>
    </row>
    <row r="259" spans="1:16" ht="15.75" customHeight="1">
      <c r="A259" s="2" t="s">
        <v>315</v>
      </c>
      <c r="B259" s="2" t="s">
        <v>28</v>
      </c>
      <c r="C259" s="25">
        <v>45509</v>
      </c>
      <c r="D259" s="2" t="s">
        <v>29</v>
      </c>
      <c r="E259" s="2" t="s">
        <v>30</v>
      </c>
      <c r="F259" s="2">
        <v>3601</v>
      </c>
      <c r="G259" s="2">
        <v>695</v>
      </c>
      <c r="H259" s="2">
        <v>75</v>
      </c>
      <c r="I259" s="3">
        <v>21606</v>
      </c>
      <c r="J259" s="2">
        <v>21454</v>
      </c>
      <c r="K259" s="3">
        <v>172</v>
      </c>
      <c r="L259" s="2" t="s">
        <v>31</v>
      </c>
      <c r="M259" s="2" t="s">
        <v>416</v>
      </c>
      <c r="N259" s="2" t="s">
        <v>416</v>
      </c>
      <c r="O259" s="2" t="s">
        <v>21</v>
      </c>
      <c r="P259" s="12">
        <f t="shared" ref="P259:P301" si="4">(F259+G259+H259)/I259</f>
        <v>0.2023049153013052</v>
      </c>
    </row>
    <row r="260" spans="1:16" ht="15.75" customHeight="1">
      <c r="A260" s="2" t="s">
        <v>316</v>
      </c>
      <c r="B260" s="2" t="s">
        <v>36</v>
      </c>
      <c r="C260" s="25">
        <v>45698</v>
      </c>
      <c r="D260" s="2" t="s">
        <v>19</v>
      </c>
      <c r="E260" s="2" t="s">
        <v>46</v>
      </c>
      <c r="F260" s="2">
        <v>562</v>
      </c>
      <c r="G260" s="2">
        <v>158</v>
      </c>
      <c r="H260" s="2">
        <v>149</v>
      </c>
      <c r="I260" s="3">
        <v>3372</v>
      </c>
      <c r="J260" s="2">
        <v>2940</v>
      </c>
      <c r="K260" s="3">
        <v>93</v>
      </c>
      <c r="L260" s="2" t="s">
        <v>25</v>
      </c>
      <c r="M260" s="2" t="s">
        <v>416</v>
      </c>
      <c r="N260" s="2" t="s">
        <v>416</v>
      </c>
      <c r="O260" s="2" t="s">
        <v>17</v>
      </c>
      <c r="P260" s="12">
        <f t="shared" si="4"/>
        <v>0.25771055753262156</v>
      </c>
    </row>
    <row r="261" spans="1:16" ht="15.75" customHeight="1">
      <c r="A261" s="2" t="s">
        <v>317</v>
      </c>
      <c r="B261" s="2" t="s">
        <v>28</v>
      </c>
      <c r="C261" s="25">
        <v>45700</v>
      </c>
      <c r="D261" s="2" t="s">
        <v>29</v>
      </c>
      <c r="E261" s="2" t="s">
        <v>30</v>
      </c>
      <c r="F261" s="2">
        <v>4332</v>
      </c>
      <c r="G261" s="2">
        <v>771</v>
      </c>
      <c r="H261" s="2">
        <v>219</v>
      </c>
      <c r="I261" s="3">
        <v>60648</v>
      </c>
      <c r="J261" s="2">
        <v>60397</v>
      </c>
      <c r="K261" s="3">
        <v>10</v>
      </c>
      <c r="L261" s="2" t="s">
        <v>25</v>
      </c>
      <c r="M261" s="2" t="s">
        <v>31</v>
      </c>
      <c r="N261" s="2" t="s">
        <v>387</v>
      </c>
      <c r="O261" s="2" t="s">
        <v>26</v>
      </c>
      <c r="P261" s="12">
        <f t="shared" si="4"/>
        <v>8.7752275425405618E-2</v>
      </c>
    </row>
    <row r="262" spans="1:16" ht="15.75" customHeight="1">
      <c r="A262" s="2" t="s">
        <v>318</v>
      </c>
      <c r="B262" s="2" t="s">
        <v>28</v>
      </c>
      <c r="C262" s="25">
        <v>45592</v>
      </c>
      <c r="D262" s="2" t="s">
        <v>43</v>
      </c>
      <c r="E262" s="2" t="s">
        <v>136</v>
      </c>
      <c r="F262" s="2">
        <v>4853</v>
      </c>
      <c r="G262" s="2">
        <v>837</v>
      </c>
      <c r="H262" s="2">
        <v>340</v>
      </c>
      <c r="I262" s="3">
        <v>72795</v>
      </c>
      <c r="J262" s="2">
        <v>72237</v>
      </c>
      <c r="K262" s="3">
        <v>170</v>
      </c>
      <c r="L262" s="2" t="s">
        <v>31</v>
      </c>
      <c r="M262" s="2" t="s">
        <v>416</v>
      </c>
      <c r="N262" s="2" t="s">
        <v>416</v>
      </c>
      <c r="O262" s="2" t="s">
        <v>17</v>
      </c>
      <c r="P262" s="12">
        <f t="shared" si="4"/>
        <v>8.2835359571399134E-2</v>
      </c>
    </row>
    <row r="263" spans="1:16" ht="15.75" customHeight="1">
      <c r="A263" s="2" t="s">
        <v>319</v>
      </c>
      <c r="B263" s="2" t="s">
        <v>23</v>
      </c>
      <c r="C263" s="25">
        <v>45675</v>
      </c>
      <c r="D263" s="2" t="s">
        <v>43</v>
      </c>
      <c r="E263" s="2" t="s">
        <v>44</v>
      </c>
      <c r="F263" s="2">
        <v>1206</v>
      </c>
      <c r="G263" s="2">
        <v>238</v>
      </c>
      <c r="H263" s="2">
        <v>36</v>
      </c>
      <c r="I263" s="3">
        <v>9648</v>
      </c>
      <c r="J263" s="2">
        <v>9417</v>
      </c>
      <c r="K263" s="3">
        <v>237</v>
      </c>
      <c r="L263" s="2" t="s">
        <v>25</v>
      </c>
      <c r="M263" s="2" t="s">
        <v>416</v>
      </c>
      <c r="N263" s="2" t="s">
        <v>416</v>
      </c>
      <c r="P263" s="12">
        <f t="shared" si="4"/>
        <v>0.15339966832504145</v>
      </c>
    </row>
    <row r="264" spans="1:16" ht="15.75" customHeight="1">
      <c r="A264" s="2" t="s">
        <v>320</v>
      </c>
      <c r="B264" s="2" t="s">
        <v>28</v>
      </c>
      <c r="C264" s="25">
        <v>45524</v>
      </c>
      <c r="D264" s="2" t="s">
        <v>15</v>
      </c>
      <c r="E264" s="2" t="s">
        <v>63</v>
      </c>
      <c r="F264" s="2">
        <v>2603</v>
      </c>
      <c r="G264" s="2">
        <v>690</v>
      </c>
      <c r="H264" s="2">
        <v>205</v>
      </c>
      <c r="I264" s="3">
        <v>13015</v>
      </c>
      <c r="J264" s="2">
        <v>12130</v>
      </c>
      <c r="K264" s="3">
        <v>20</v>
      </c>
      <c r="L264" s="2" t="s">
        <v>50</v>
      </c>
      <c r="M264" s="2" t="s">
        <v>416</v>
      </c>
      <c r="N264" s="2" t="s">
        <v>416</v>
      </c>
      <c r="O264" s="2" t="s">
        <v>21</v>
      </c>
      <c r="P264" s="12">
        <f t="shared" si="4"/>
        <v>0.26876680752977333</v>
      </c>
    </row>
    <row r="265" spans="1:16" ht="15.75" customHeight="1">
      <c r="A265" s="2" t="s">
        <v>321</v>
      </c>
      <c r="B265" s="2" t="s">
        <v>14</v>
      </c>
      <c r="C265" s="25">
        <v>45687</v>
      </c>
      <c r="D265" s="2" t="s">
        <v>43</v>
      </c>
      <c r="E265" s="2" t="s">
        <v>90</v>
      </c>
      <c r="F265" s="2">
        <v>59</v>
      </c>
      <c r="G265" s="2">
        <v>163</v>
      </c>
      <c r="H265" s="2">
        <v>93</v>
      </c>
      <c r="I265" s="3">
        <v>590</v>
      </c>
      <c r="J265" s="2">
        <v>475</v>
      </c>
      <c r="K265" s="3">
        <v>293</v>
      </c>
      <c r="L265" s="2" t="s">
        <v>25</v>
      </c>
      <c r="M265" s="2" t="s">
        <v>416</v>
      </c>
      <c r="N265" s="2" t="s">
        <v>416</v>
      </c>
      <c r="O265" s="2" t="s">
        <v>21</v>
      </c>
      <c r="P265" s="12">
        <f t="shared" si="4"/>
        <v>0.53389830508474578</v>
      </c>
    </row>
    <row r="266" spans="1:16" ht="15.75" customHeight="1">
      <c r="A266" s="2" t="s">
        <v>322</v>
      </c>
      <c r="B266" s="2" t="s">
        <v>14</v>
      </c>
      <c r="C266" s="25">
        <v>45708</v>
      </c>
      <c r="D266" s="2" t="s">
        <v>38</v>
      </c>
      <c r="E266" s="2" t="s">
        <v>41</v>
      </c>
      <c r="F266" s="2">
        <v>1877</v>
      </c>
      <c r="G266" s="2">
        <v>745</v>
      </c>
      <c r="H266" s="2">
        <v>225</v>
      </c>
      <c r="I266" s="3">
        <v>11262</v>
      </c>
      <c r="J266" s="2">
        <v>10967</v>
      </c>
      <c r="K266" s="3">
        <v>41</v>
      </c>
      <c r="L266" s="2" t="s">
        <v>31</v>
      </c>
      <c r="M266" s="2" t="s">
        <v>416</v>
      </c>
      <c r="N266" s="2" t="s">
        <v>416</v>
      </c>
      <c r="O266" s="2" t="s">
        <v>32</v>
      </c>
      <c r="P266" s="12">
        <f t="shared" si="4"/>
        <v>0.25279701651571657</v>
      </c>
    </row>
    <row r="267" spans="1:16" ht="15.75" customHeight="1">
      <c r="A267" s="2" t="s">
        <v>323</v>
      </c>
      <c r="B267" s="2" t="s">
        <v>36</v>
      </c>
      <c r="C267" s="25">
        <v>45621</v>
      </c>
      <c r="D267" s="2" t="s">
        <v>29</v>
      </c>
      <c r="E267" s="2" t="s">
        <v>56</v>
      </c>
      <c r="F267" s="2">
        <v>4182</v>
      </c>
      <c r="G267" s="2">
        <v>640</v>
      </c>
      <c r="H267" s="2">
        <v>240</v>
      </c>
      <c r="I267" s="3">
        <v>50184</v>
      </c>
      <c r="J267" s="2">
        <v>49351</v>
      </c>
      <c r="K267" s="3">
        <v>10</v>
      </c>
      <c r="L267" s="2" t="s">
        <v>25</v>
      </c>
      <c r="M267" s="2" t="s">
        <v>416</v>
      </c>
      <c r="N267" s="2" t="s">
        <v>416</v>
      </c>
      <c r="O267" s="2" t="s">
        <v>26</v>
      </c>
      <c r="P267" s="12">
        <f t="shared" si="4"/>
        <v>0.10086880280567512</v>
      </c>
    </row>
    <row r="268" spans="1:16" ht="15.75" customHeight="1">
      <c r="A268" s="2" t="s">
        <v>324</v>
      </c>
      <c r="B268" s="2" t="s">
        <v>14</v>
      </c>
      <c r="C268" s="25">
        <v>45569</v>
      </c>
      <c r="D268" s="2" t="s">
        <v>15</v>
      </c>
      <c r="E268" s="2" t="s">
        <v>16</v>
      </c>
      <c r="F268" s="2">
        <v>4187</v>
      </c>
      <c r="G268" s="2">
        <v>66</v>
      </c>
      <c r="H268" s="2">
        <v>31</v>
      </c>
      <c r="I268" s="3">
        <v>66992</v>
      </c>
      <c r="J268" s="2">
        <v>66614</v>
      </c>
      <c r="K268" s="3">
        <v>62</v>
      </c>
      <c r="L268" s="2" t="s">
        <v>50</v>
      </c>
      <c r="M268" s="2" t="s">
        <v>416</v>
      </c>
      <c r="N268" s="2" t="s">
        <v>416</v>
      </c>
      <c r="P268" s="12">
        <f t="shared" si="4"/>
        <v>6.3947934081681396E-2</v>
      </c>
    </row>
    <row r="269" spans="1:16" ht="15.75" customHeight="1">
      <c r="A269" s="2" t="s">
        <v>325</v>
      </c>
      <c r="B269" s="2" t="s">
        <v>28</v>
      </c>
      <c r="C269" s="25">
        <v>45760</v>
      </c>
      <c r="D269" s="2" t="s">
        <v>15</v>
      </c>
      <c r="E269" s="2" t="s">
        <v>63</v>
      </c>
      <c r="F269" s="2">
        <v>4579</v>
      </c>
      <c r="G269" s="2">
        <v>125</v>
      </c>
      <c r="H269" s="2">
        <v>300</v>
      </c>
      <c r="I269" s="3">
        <v>59527</v>
      </c>
      <c r="J269" s="2">
        <v>59400</v>
      </c>
      <c r="K269" s="3">
        <v>269</v>
      </c>
      <c r="L269" s="2" t="s">
        <v>31</v>
      </c>
      <c r="M269" s="2" t="s">
        <v>416</v>
      </c>
      <c r="N269" s="2" t="s">
        <v>416</v>
      </c>
      <c r="O269" s="2" t="s">
        <v>17</v>
      </c>
      <c r="P269" s="12">
        <f t="shared" si="4"/>
        <v>8.4062694239588759E-2</v>
      </c>
    </row>
    <row r="270" spans="1:16" ht="15.75" customHeight="1">
      <c r="A270" s="2" t="s">
        <v>326</v>
      </c>
      <c r="B270" s="2" t="s">
        <v>28</v>
      </c>
      <c r="C270" s="25">
        <v>45601</v>
      </c>
      <c r="D270" s="2" t="s">
        <v>58</v>
      </c>
      <c r="E270" s="2" t="s">
        <v>65</v>
      </c>
      <c r="F270" s="2">
        <v>4561</v>
      </c>
      <c r="G270" s="2">
        <v>51</v>
      </c>
      <c r="H270" s="2">
        <v>441</v>
      </c>
      <c r="I270" s="3">
        <v>22805</v>
      </c>
      <c r="J270" s="2">
        <v>21890</v>
      </c>
      <c r="K270" s="3">
        <v>45</v>
      </c>
      <c r="L270" s="2" t="s">
        <v>25</v>
      </c>
      <c r="M270" s="2" t="s">
        <v>416</v>
      </c>
      <c r="N270" s="2" t="s">
        <v>416</v>
      </c>
      <c r="O270" s="2" t="s">
        <v>21</v>
      </c>
      <c r="P270" s="12">
        <f t="shared" si="4"/>
        <v>0.22157421618066214</v>
      </c>
    </row>
    <row r="271" spans="1:16" ht="15.75" customHeight="1">
      <c r="A271" s="2" t="s">
        <v>327</v>
      </c>
      <c r="B271" s="2" t="s">
        <v>23</v>
      </c>
      <c r="C271" s="25">
        <v>45672</v>
      </c>
      <c r="D271" s="2" t="s">
        <v>15</v>
      </c>
      <c r="E271" s="2" t="s">
        <v>24</v>
      </c>
      <c r="F271" s="2">
        <v>3774</v>
      </c>
      <c r="G271" s="2">
        <v>239</v>
      </c>
      <c r="H271" s="2">
        <v>39</v>
      </c>
      <c r="I271" s="3">
        <v>60384</v>
      </c>
      <c r="J271" s="2">
        <v>59490</v>
      </c>
      <c r="K271" s="3">
        <v>241</v>
      </c>
      <c r="L271" s="2" t="s">
        <v>25</v>
      </c>
      <c r="M271" s="2" t="s">
        <v>416</v>
      </c>
      <c r="N271" s="2" t="s">
        <v>416</v>
      </c>
      <c r="O271" s="2" t="s">
        <v>26</v>
      </c>
      <c r="P271" s="12">
        <f t="shared" si="4"/>
        <v>6.7103868574456813E-2</v>
      </c>
    </row>
    <row r="272" spans="1:16" ht="15.75" customHeight="1">
      <c r="A272" s="2" t="s">
        <v>328</v>
      </c>
      <c r="B272" s="2" t="s">
        <v>28</v>
      </c>
      <c r="C272" s="25">
        <v>45582</v>
      </c>
      <c r="D272" s="2" t="s">
        <v>58</v>
      </c>
      <c r="E272" s="2" t="s">
        <v>65</v>
      </c>
      <c r="F272" s="2">
        <v>3575</v>
      </c>
      <c r="G272" s="2">
        <v>749</v>
      </c>
      <c r="H272" s="2">
        <v>111</v>
      </c>
      <c r="I272" s="3">
        <v>21450</v>
      </c>
      <c r="J272" s="2">
        <v>20785</v>
      </c>
      <c r="K272" s="3">
        <v>195</v>
      </c>
      <c r="L272" s="2" t="s">
        <v>31</v>
      </c>
      <c r="M272" s="2" t="s">
        <v>416</v>
      </c>
      <c r="N272" s="2" t="s">
        <v>416</v>
      </c>
      <c r="O272" s="2" t="s">
        <v>21</v>
      </c>
      <c r="P272" s="12">
        <f t="shared" si="4"/>
        <v>0.20675990675990677</v>
      </c>
    </row>
    <row r="273" spans="1:16" ht="15.75" customHeight="1">
      <c r="A273" s="2" t="s">
        <v>329</v>
      </c>
      <c r="B273" s="2" t="s">
        <v>28</v>
      </c>
      <c r="C273" s="25">
        <v>45743</v>
      </c>
      <c r="D273" s="2" t="s">
        <v>19</v>
      </c>
      <c r="E273" s="2" t="s">
        <v>80</v>
      </c>
      <c r="F273" s="2">
        <v>4941</v>
      </c>
      <c r="G273" s="2">
        <v>414</v>
      </c>
      <c r="H273" s="2">
        <v>266</v>
      </c>
      <c r="I273" s="3">
        <v>39528</v>
      </c>
      <c r="J273" s="2">
        <v>39154</v>
      </c>
      <c r="K273" s="3">
        <v>217</v>
      </c>
      <c r="L273" s="2" t="s">
        <v>25</v>
      </c>
      <c r="M273" s="2" t="s">
        <v>416</v>
      </c>
      <c r="N273" s="2" t="s">
        <v>416</v>
      </c>
      <c r="O273" s="2" t="s">
        <v>26</v>
      </c>
      <c r="P273" s="12">
        <f t="shared" si="4"/>
        <v>0.14220299534507186</v>
      </c>
    </row>
    <row r="274" spans="1:16" ht="15.75" customHeight="1">
      <c r="A274" s="2" t="s">
        <v>330</v>
      </c>
      <c r="B274" s="2" t="s">
        <v>23</v>
      </c>
      <c r="C274" s="25">
        <v>45577</v>
      </c>
      <c r="D274" s="2" t="s">
        <v>29</v>
      </c>
      <c r="E274" s="2" t="s">
        <v>103</v>
      </c>
      <c r="F274" s="2">
        <v>3641</v>
      </c>
      <c r="G274" s="2">
        <v>226</v>
      </c>
      <c r="H274" s="2">
        <v>46</v>
      </c>
      <c r="I274" s="3">
        <v>40051</v>
      </c>
      <c r="J274" s="2">
        <v>39319</v>
      </c>
      <c r="K274" s="3">
        <v>296</v>
      </c>
      <c r="L274" s="2" t="s">
        <v>31</v>
      </c>
      <c r="M274" s="2" t="s">
        <v>416</v>
      </c>
      <c r="N274" s="2" t="s">
        <v>416</v>
      </c>
      <c r="O274" s="2" t="s">
        <v>32</v>
      </c>
      <c r="P274" s="12">
        <f t="shared" si="4"/>
        <v>9.7700431949264685E-2</v>
      </c>
    </row>
    <row r="275" spans="1:16" ht="15.75" customHeight="1">
      <c r="A275" s="2" t="s">
        <v>331</v>
      </c>
      <c r="B275" s="2" t="s">
        <v>14</v>
      </c>
      <c r="C275" s="25">
        <v>45658</v>
      </c>
      <c r="D275" s="2" t="s">
        <v>38</v>
      </c>
      <c r="E275" s="2" t="s">
        <v>41</v>
      </c>
      <c r="F275" s="2">
        <v>3535</v>
      </c>
      <c r="G275" s="2">
        <v>494</v>
      </c>
      <c r="H275" s="2">
        <v>152</v>
      </c>
      <c r="I275" s="3">
        <v>53025</v>
      </c>
      <c r="J275" s="2">
        <v>52791</v>
      </c>
      <c r="K275" s="3">
        <v>44</v>
      </c>
      <c r="L275" s="2" t="s">
        <v>25</v>
      </c>
      <c r="M275" s="2" t="s">
        <v>416</v>
      </c>
      <c r="N275" s="2" t="s">
        <v>416</v>
      </c>
      <c r="O275" s="2" t="s">
        <v>32</v>
      </c>
      <c r="P275" s="12">
        <f t="shared" si="4"/>
        <v>7.8849599245638849E-2</v>
      </c>
    </row>
    <row r="276" spans="1:16" ht="15.75" customHeight="1">
      <c r="A276" s="2" t="s">
        <v>332</v>
      </c>
      <c r="B276" s="2" t="s">
        <v>36</v>
      </c>
      <c r="C276" s="25">
        <v>45509</v>
      </c>
      <c r="D276" s="2" t="s">
        <v>15</v>
      </c>
      <c r="E276" s="2" t="s">
        <v>52</v>
      </c>
      <c r="F276" s="2">
        <v>1741</v>
      </c>
      <c r="G276" s="2">
        <v>831</v>
      </c>
      <c r="H276" s="2">
        <v>345</v>
      </c>
      <c r="I276" s="3">
        <v>17410</v>
      </c>
      <c r="J276" s="2">
        <v>16844</v>
      </c>
      <c r="K276" s="3">
        <v>58</v>
      </c>
      <c r="L276" s="2" t="s">
        <v>31</v>
      </c>
      <c r="M276" s="2" t="s">
        <v>416</v>
      </c>
      <c r="N276" s="2" t="s">
        <v>416</v>
      </c>
      <c r="O276" s="2" t="s">
        <v>26</v>
      </c>
      <c r="P276" s="12">
        <f t="shared" si="4"/>
        <v>0.16754738655944859</v>
      </c>
    </row>
    <row r="277" spans="1:16" ht="15.75" customHeight="1">
      <c r="A277" s="2" t="s">
        <v>333</v>
      </c>
      <c r="B277" s="2" t="s">
        <v>14</v>
      </c>
      <c r="C277" s="25">
        <v>45450</v>
      </c>
      <c r="D277" s="2" t="s">
        <v>38</v>
      </c>
      <c r="E277" s="2" t="s">
        <v>41</v>
      </c>
      <c r="F277" s="2">
        <v>1556</v>
      </c>
      <c r="G277" s="2">
        <v>195</v>
      </c>
      <c r="H277" s="2">
        <v>131</v>
      </c>
      <c r="I277" s="3">
        <v>9336</v>
      </c>
      <c r="J277" s="2">
        <v>8875</v>
      </c>
      <c r="K277" s="3">
        <v>137</v>
      </c>
      <c r="L277" s="2" t="s">
        <v>25</v>
      </c>
      <c r="M277" s="2" t="s">
        <v>416</v>
      </c>
      <c r="N277" s="2" t="s">
        <v>416</v>
      </c>
      <c r="O277" s="2" t="s">
        <v>21</v>
      </c>
      <c r="P277" s="12">
        <f t="shared" si="4"/>
        <v>0.2015852613538989</v>
      </c>
    </row>
    <row r="278" spans="1:16" ht="15.75" customHeight="1">
      <c r="A278" s="2" t="s">
        <v>334</v>
      </c>
      <c r="B278" s="2" t="s">
        <v>36</v>
      </c>
      <c r="C278" s="25">
        <v>45753</v>
      </c>
      <c r="D278" s="2" t="s">
        <v>43</v>
      </c>
      <c r="E278" s="2" t="s">
        <v>48</v>
      </c>
      <c r="F278" s="2">
        <v>4236</v>
      </c>
      <c r="G278" s="2">
        <v>711</v>
      </c>
      <c r="H278" s="2">
        <v>298</v>
      </c>
      <c r="I278" s="3">
        <v>21180</v>
      </c>
      <c r="J278" s="2">
        <v>20516</v>
      </c>
      <c r="K278" s="3">
        <v>238</v>
      </c>
      <c r="L278" s="2" t="s">
        <v>50</v>
      </c>
      <c r="M278" s="2" t="s">
        <v>416</v>
      </c>
      <c r="N278" s="2" t="s">
        <v>416</v>
      </c>
      <c r="O278" s="2" t="s">
        <v>17</v>
      </c>
      <c r="P278" s="12">
        <f t="shared" si="4"/>
        <v>0.24763928234183191</v>
      </c>
    </row>
    <row r="279" spans="1:16" ht="15.75" customHeight="1">
      <c r="A279" s="2" t="s">
        <v>335</v>
      </c>
      <c r="B279" s="2" t="s">
        <v>14</v>
      </c>
      <c r="C279" s="25">
        <v>45622</v>
      </c>
      <c r="D279" s="2" t="s">
        <v>19</v>
      </c>
      <c r="E279" s="2" t="s">
        <v>20</v>
      </c>
      <c r="F279" s="2">
        <v>4516</v>
      </c>
      <c r="G279" s="2">
        <v>836</v>
      </c>
      <c r="H279" s="2">
        <v>169</v>
      </c>
      <c r="I279" s="3">
        <v>49676</v>
      </c>
      <c r="J279" s="2">
        <v>49257</v>
      </c>
      <c r="K279" s="3">
        <v>282</v>
      </c>
      <c r="L279" s="2" t="s">
        <v>31</v>
      </c>
      <c r="M279" s="2" t="s">
        <v>416</v>
      </c>
      <c r="N279" s="2" t="s">
        <v>416</v>
      </c>
      <c r="O279" s="2" t="s">
        <v>32</v>
      </c>
      <c r="P279" s="12">
        <f t="shared" si="4"/>
        <v>0.11114018842096787</v>
      </c>
    </row>
    <row r="280" spans="1:16" ht="15.75" customHeight="1">
      <c r="A280" s="2" t="s">
        <v>336</v>
      </c>
      <c r="B280" s="2" t="s">
        <v>23</v>
      </c>
      <c r="C280" s="25">
        <v>45537</v>
      </c>
      <c r="D280" s="2" t="s">
        <v>43</v>
      </c>
      <c r="E280" s="2" t="s">
        <v>44</v>
      </c>
      <c r="F280" s="2">
        <v>4905</v>
      </c>
      <c r="G280" s="2">
        <v>845</v>
      </c>
      <c r="H280" s="2">
        <v>129</v>
      </c>
      <c r="I280" s="3">
        <v>98100</v>
      </c>
      <c r="J280" s="2">
        <v>97772</v>
      </c>
      <c r="K280" s="3">
        <v>279</v>
      </c>
      <c r="L280" s="2" t="s">
        <v>25</v>
      </c>
      <c r="M280" s="2" t="s">
        <v>416</v>
      </c>
      <c r="N280" s="2" t="s">
        <v>416</v>
      </c>
      <c r="O280" s="2" t="s">
        <v>21</v>
      </c>
      <c r="P280" s="12">
        <f t="shared" si="4"/>
        <v>5.9928644240570844E-2</v>
      </c>
    </row>
    <row r="281" spans="1:16" ht="15.75" customHeight="1">
      <c r="A281" s="2" t="s">
        <v>337</v>
      </c>
      <c r="B281" s="2" t="s">
        <v>23</v>
      </c>
      <c r="C281" s="25">
        <v>45586</v>
      </c>
      <c r="D281" s="2" t="s">
        <v>58</v>
      </c>
      <c r="E281" s="2" t="s">
        <v>138</v>
      </c>
      <c r="F281" s="2">
        <v>4275</v>
      </c>
      <c r="G281" s="2">
        <v>680</v>
      </c>
      <c r="H281" s="2">
        <v>385</v>
      </c>
      <c r="I281" s="3">
        <v>64125</v>
      </c>
      <c r="J281" s="2">
        <v>63650</v>
      </c>
      <c r="K281" s="3">
        <v>104</v>
      </c>
      <c r="L281" s="2" t="s">
        <v>31</v>
      </c>
      <c r="M281" s="2" t="s">
        <v>25</v>
      </c>
      <c r="N281" s="2" t="s">
        <v>386</v>
      </c>
      <c r="O281" s="2" t="s">
        <v>32</v>
      </c>
      <c r="P281" s="12">
        <f t="shared" si="4"/>
        <v>8.3274853801169585E-2</v>
      </c>
    </row>
    <row r="282" spans="1:16" ht="15.75" customHeight="1">
      <c r="A282" s="2" t="s">
        <v>338</v>
      </c>
      <c r="B282" s="2" t="s">
        <v>23</v>
      </c>
      <c r="C282" s="25">
        <v>45738</v>
      </c>
      <c r="D282" s="2" t="s">
        <v>43</v>
      </c>
      <c r="E282" s="2" t="s">
        <v>44</v>
      </c>
      <c r="F282" s="2">
        <v>3166</v>
      </c>
      <c r="G282" s="2">
        <v>90</v>
      </c>
      <c r="H282" s="2">
        <v>341</v>
      </c>
      <c r="I282" s="3">
        <v>56988</v>
      </c>
      <c r="J282" s="2">
        <v>56125</v>
      </c>
      <c r="K282" s="3">
        <v>135</v>
      </c>
      <c r="L282" s="2" t="s">
        <v>31</v>
      </c>
      <c r="M282" s="2" t="s">
        <v>416</v>
      </c>
      <c r="N282" s="2" t="s">
        <v>416</v>
      </c>
      <c r="O282" s="2" t="s">
        <v>21</v>
      </c>
      <c r="P282" s="12">
        <f t="shared" si="4"/>
        <v>6.3118551273952411E-2</v>
      </c>
    </row>
    <row r="283" spans="1:16" ht="15.75" customHeight="1">
      <c r="A283" s="2" t="s">
        <v>339</v>
      </c>
      <c r="B283" s="2" t="s">
        <v>28</v>
      </c>
      <c r="C283" s="25">
        <v>45568</v>
      </c>
      <c r="D283" s="2" t="s">
        <v>58</v>
      </c>
      <c r="E283" s="2" t="s">
        <v>65</v>
      </c>
      <c r="F283" s="2">
        <v>1488</v>
      </c>
      <c r="G283" s="2">
        <v>417</v>
      </c>
      <c r="H283" s="2">
        <v>168</v>
      </c>
      <c r="I283" s="3">
        <v>19344</v>
      </c>
      <c r="J283" s="2">
        <v>18395</v>
      </c>
      <c r="K283" s="3">
        <v>30</v>
      </c>
      <c r="L283" s="2" t="s">
        <v>50</v>
      </c>
      <c r="M283" s="2" t="s">
        <v>416</v>
      </c>
      <c r="N283" s="2" t="s">
        <v>416</v>
      </c>
      <c r="O283" s="2" t="s">
        <v>26</v>
      </c>
      <c r="P283" s="12">
        <f t="shared" si="4"/>
        <v>0.1071650124069479</v>
      </c>
    </row>
    <row r="284" spans="1:16" ht="15.75" customHeight="1">
      <c r="A284" s="2" t="s">
        <v>340</v>
      </c>
      <c r="B284" s="2" t="s">
        <v>14</v>
      </c>
      <c r="C284" s="25">
        <v>45786</v>
      </c>
      <c r="D284" s="2" t="s">
        <v>15</v>
      </c>
      <c r="E284" s="2" t="s">
        <v>16</v>
      </c>
      <c r="F284" s="2">
        <v>3367</v>
      </c>
      <c r="G284" s="2">
        <v>302</v>
      </c>
      <c r="H284" s="2">
        <v>57</v>
      </c>
      <c r="I284" s="3">
        <v>63973</v>
      </c>
      <c r="J284" s="2">
        <v>63789</v>
      </c>
      <c r="K284" s="3">
        <v>157</v>
      </c>
      <c r="L284" s="2" t="s">
        <v>50</v>
      </c>
      <c r="M284" s="2" t="s">
        <v>416</v>
      </c>
      <c r="N284" s="2" t="s">
        <v>416</v>
      </c>
      <c r="O284" s="2" t="s">
        <v>21</v>
      </c>
      <c r="P284" s="12">
        <f t="shared" si="4"/>
        <v>5.8243321401216137E-2</v>
      </c>
    </row>
    <row r="285" spans="1:16" ht="15.75" customHeight="1">
      <c r="A285" s="2" t="s">
        <v>341</v>
      </c>
      <c r="B285" s="2" t="s">
        <v>14</v>
      </c>
      <c r="C285" s="25">
        <v>45552</v>
      </c>
      <c r="D285" s="2" t="s">
        <v>19</v>
      </c>
      <c r="E285" s="2" t="s">
        <v>20</v>
      </c>
      <c r="F285" s="2">
        <v>571</v>
      </c>
      <c r="G285" s="2">
        <v>190</v>
      </c>
      <c r="H285" s="2">
        <v>352</v>
      </c>
      <c r="I285" s="3">
        <v>9707</v>
      </c>
      <c r="J285" s="2">
        <v>9418</v>
      </c>
      <c r="K285" s="3">
        <v>231</v>
      </c>
      <c r="L285" s="2" t="s">
        <v>25</v>
      </c>
      <c r="M285" s="2" t="s">
        <v>416</v>
      </c>
      <c r="N285" s="2" t="s">
        <v>416</v>
      </c>
      <c r="O285" s="2" t="s">
        <v>32</v>
      </c>
      <c r="P285" s="12">
        <f t="shared" si="4"/>
        <v>0.11465952405480581</v>
      </c>
    </row>
    <row r="286" spans="1:16" ht="15.75" customHeight="1">
      <c r="A286" s="2" t="s">
        <v>342</v>
      </c>
      <c r="B286" s="2" t="s">
        <v>23</v>
      </c>
      <c r="C286" s="25">
        <v>45491</v>
      </c>
      <c r="D286" s="2" t="s">
        <v>19</v>
      </c>
      <c r="E286" s="2" t="s">
        <v>75</v>
      </c>
      <c r="F286" s="2">
        <v>4021</v>
      </c>
      <c r="G286" s="2">
        <v>794</v>
      </c>
      <c r="H286" s="2">
        <v>77</v>
      </c>
      <c r="I286" s="3">
        <v>36189</v>
      </c>
      <c r="J286" s="2">
        <v>35505</v>
      </c>
      <c r="K286" s="3">
        <v>174</v>
      </c>
      <c r="L286" s="2" t="s">
        <v>31</v>
      </c>
      <c r="M286" s="2" t="s">
        <v>416</v>
      </c>
      <c r="N286" s="2" t="s">
        <v>416</v>
      </c>
      <c r="P286" s="12">
        <f t="shared" si="4"/>
        <v>0.13517919809886983</v>
      </c>
    </row>
    <row r="287" spans="1:16" ht="15.75" customHeight="1">
      <c r="A287" s="2" t="s">
        <v>343</v>
      </c>
      <c r="B287" s="2" t="s">
        <v>23</v>
      </c>
      <c r="C287" s="25">
        <v>45560</v>
      </c>
      <c r="D287" s="2" t="s">
        <v>58</v>
      </c>
      <c r="E287" s="2" t="s">
        <v>138</v>
      </c>
      <c r="F287" s="2">
        <v>3389</v>
      </c>
      <c r="G287" s="2">
        <v>344</v>
      </c>
      <c r="H287" s="2">
        <v>229</v>
      </c>
      <c r="I287" s="3">
        <v>20334</v>
      </c>
      <c r="J287" s="2">
        <v>19443</v>
      </c>
      <c r="K287" s="3">
        <v>228</v>
      </c>
      <c r="L287" s="2" t="s">
        <v>50</v>
      </c>
      <c r="M287" s="2" t="s">
        <v>416</v>
      </c>
      <c r="N287" s="2" t="s">
        <v>416</v>
      </c>
      <c r="O287" s="2" t="s">
        <v>26</v>
      </c>
      <c r="P287" s="12">
        <f t="shared" si="4"/>
        <v>0.19484607062063539</v>
      </c>
    </row>
    <row r="288" spans="1:16" ht="15.75" customHeight="1">
      <c r="A288" s="2" t="s">
        <v>344</v>
      </c>
      <c r="B288" s="2" t="s">
        <v>28</v>
      </c>
      <c r="C288" s="25">
        <v>45519</v>
      </c>
      <c r="D288" s="2" t="s">
        <v>15</v>
      </c>
      <c r="E288" s="2" t="s">
        <v>63</v>
      </c>
      <c r="F288" s="2">
        <v>1164</v>
      </c>
      <c r="G288" s="2">
        <v>616</v>
      </c>
      <c r="H288" s="2">
        <v>324</v>
      </c>
      <c r="I288" s="3">
        <v>6984</v>
      </c>
      <c r="J288" s="2">
        <v>6636</v>
      </c>
      <c r="K288" s="3">
        <v>82</v>
      </c>
      <c r="L288" s="2" t="s">
        <v>31</v>
      </c>
      <c r="M288" s="2" t="s">
        <v>416</v>
      </c>
      <c r="N288" s="2" t="s">
        <v>416</v>
      </c>
      <c r="O288" s="2" t="s">
        <v>17</v>
      </c>
      <c r="P288" s="12">
        <f t="shared" si="4"/>
        <v>0.30126002290950743</v>
      </c>
    </row>
    <row r="289" spans="1:16" ht="15.75" customHeight="1">
      <c r="A289" s="2" t="s">
        <v>345</v>
      </c>
      <c r="B289" s="2" t="s">
        <v>23</v>
      </c>
      <c r="C289" s="25">
        <v>45764</v>
      </c>
      <c r="D289" s="2" t="s">
        <v>38</v>
      </c>
      <c r="E289" s="2" t="s">
        <v>54</v>
      </c>
      <c r="F289" s="2">
        <v>4780</v>
      </c>
      <c r="G289" s="2">
        <v>691</v>
      </c>
      <c r="H289" s="2">
        <v>380</v>
      </c>
      <c r="I289" s="3">
        <v>86040</v>
      </c>
      <c r="J289" s="2">
        <v>85743</v>
      </c>
      <c r="K289" s="3">
        <v>262</v>
      </c>
      <c r="L289" s="2" t="s">
        <v>50</v>
      </c>
      <c r="M289" s="2" t="s">
        <v>416</v>
      </c>
      <c r="N289" s="2" t="s">
        <v>416</v>
      </c>
      <c r="O289" s="2" t="s">
        <v>26</v>
      </c>
      <c r="P289" s="12">
        <f t="shared" si="4"/>
        <v>6.800325430032543E-2</v>
      </c>
    </row>
    <row r="290" spans="1:16" ht="15.75" customHeight="1">
      <c r="A290" s="2" t="s">
        <v>346</v>
      </c>
      <c r="B290" s="2" t="s">
        <v>36</v>
      </c>
      <c r="C290" s="25">
        <v>45624</v>
      </c>
      <c r="D290" s="2" t="s">
        <v>38</v>
      </c>
      <c r="E290" s="2" t="s">
        <v>39</v>
      </c>
      <c r="F290" s="2">
        <v>2751</v>
      </c>
      <c r="G290" s="2">
        <v>33</v>
      </c>
      <c r="H290" s="2">
        <v>430</v>
      </c>
      <c r="I290" s="3">
        <v>44016</v>
      </c>
      <c r="J290" s="2">
        <v>43415</v>
      </c>
      <c r="K290" s="3">
        <v>129</v>
      </c>
      <c r="L290" s="2" t="s">
        <v>50</v>
      </c>
      <c r="M290" s="2" t="s">
        <v>416</v>
      </c>
      <c r="N290" s="2" t="s">
        <v>416</v>
      </c>
      <c r="P290" s="12">
        <f t="shared" si="4"/>
        <v>7.3018902217375503E-2</v>
      </c>
    </row>
    <row r="291" spans="1:16" ht="15.75" customHeight="1">
      <c r="A291" s="2" t="s">
        <v>347</v>
      </c>
      <c r="B291" s="2" t="s">
        <v>28</v>
      </c>
      <c r="C291" s="25">
        <v>45646</v>
      </c>
      <c r="D291" s="2" t="s">
        <v>38</v>
      </c>
      <c r="E291" s="2" t="s">
        <v>67</v>
      </c>
      <c r="F291" s="2">
        <v>2107</v>
      </c>
      <c r="G291" s="2">
        <v>550</v>
      </c>
      <c r="H291" s="2">
        <v>349</v>
      </c>
      <c r="I291" s="3">
        <v>35819</v>
      </c>
      <c r="J291" s="2">
        <v>35340</v>
      </c>
      <c r="K291" s="3">
        <v>191</v>
      </c>
      <c r="L291" s="2" t="s">
        <v>31</v>
      </c>
      <c r="M291" s="2" t="s">
        <v>416</v>
      </c>
      <c r="N291" s="2" t="s">
        <v>416</v>
      </c>
      <c r="O291" s="2" t="s">
        <v>32</v>
      </c>
      <c r="P291" s="12">
        <f t="shared" si="4"/>
        <v>8.3921940869371006E-2</v>
      </c>
    </row>
    <row r="292" spans="1:16" ht="15.75" customHeight="1">
      <c r="A292" s="2" t="s">
        <v>348</v>
      </c>
      <c r="B292" s="2" t="s">
        <v>36</v>
      </c>
      <c r="C292" s="25">
        <v>45602</v>
      </c>
      <c r="D292" s="2" t="s">
        <v>58</v>
      </c>
      <c r="E292" s="2" t="s">
        <v>59</v>
      </c>
      <c r="F292" s="2">
        <v>4663</v>
      </c>
      <c r="G292" s="2">
        <v>145</v>
      </c>
      <c r="H292" s="2">
        <v>225</v>
      </c>
      <c r="I292" s="3">
        <v>69945</v>
      </c>
      <c r="J292" s="2">
        <v>69596</v>
      </c>
      <c r="K292" s="3">
        <v>35</v>
      </c>
      <c r="L292" s="2" t="s">
        <v>31</v>
      </c>
      <c r="M292" s="2" t="s">
        <v>416</v>
      </c>
      <c r="N292" s="2" t="s">
        <v>416</v>
      </c>
      <c r="O292" s="2" t="s">
        <v>32</v>
      </c>
      <c r="P292" s="12">
        <f t="shared" si="4"/>
        <v>7.1956537279290869E-2</v>
      </c>
    </row>
    <row r="293" spans="1:16" ht="15.75" customHeight="1">
      <c r="A293" s="2" t="s">
        <v>349</v>
      </c>
      <c r="B293" s="2" t="s">
        <v>36</v>
      </c>
      <c r="C293" s="25">
        <v>45613</v>
      </c>
      <c r="D293" s="2" t="s">
        <v>19</v>
      </c>
      <c r="E293" s="2" t="s">
        <v>46</v>
      </c>
      <c r="F293" s="2">
        <v>880</v>
      </c>
      <c r="G293" s="2">
        <v>297</v>
      </c>
      <c r="H293" s="2">
        <v>345</v>
      </c>
      <c r="I293" s="3">
        <v>12320</v>
      </c>
      <c r="J293" s="2">
        <v>11978</v>
      </c>
      <c r="K293" s="3">
        <v>238</v>
      </c>
      <c r="L293" s="2" t="s">
        <v>25</v>
      </c>
      <c r="M293" s="2" t="s">
        <v>386</v>
      </c>
      <c r="N293" s="2" t="s">
        <v>416</v>
      </c>
      <c r="P293" s="12">
        <f t="shared" si="4"/>
        <v>0.12353896103896105</v>
      </c>
    </row>
    <row r="294" spans="1:16" ht="15.75" customHeight="1">
      <c r="A294" s="2" t="s">
        <v>350</v>
      </c>
      <c r="B294" s="2" t="s">
        <v>36</v>
      </c>
      <c r="C294" s="25">
        <v>45791</v>
      </c>
      <c r="D294" s="2" t="s">
        <v>19</v>
      </c>
      <c r="E294" s="2" t="s">
        <v>46</v>
      </c>
      <c r="F294" s="2">
        <v>2634</v>
      </c>
      <c r="G294" s="2">
        <v>726</v>
      </c>
      <c r="H294" s="2">
        <v>241</v>
      </c>
      <c r="I294" s="3">
        <v>28974</v>
      </c>
      <c r="J294" s="2">
        <v>28102</v>
      </c>
      <c r="K294" s="3">
        <v>277</v>
      </c>
      <c r="L294" s="2" t="s">
        <v>31</v>
      </c>
      <c r="M294" s="2" t="s">
        <v>416</v>
      </c>
      <c r="N294" s="2" t="s">
        <v>416</v>
      </c>
      <c r="O294" s="2" t="s">
        <v>17</v>
      </c>
      <c r="P294" s="12">
        <f t="shared" si="4"/>
        <v>0.12428384068475185</v>
      </c>
    </row>
    <row r="295" spans="1:16" ht="15.75" customHeight="1">
      <c r="A295" s="2" t="s">
        <v>351</v>
      </c>
      <c r="B295" s="2" t="s">
        <v>36</v>
      </c>
      <c r="C295" s="25">
        <v>45462</v>
      </c>
      <c r="D295" s="2" t="s">
        <v>38</v>
      </c>
      <c r="E295" s="2" t="s">
        <v>39</v>
      </c>
      <c r="F295" s="2">
        <v>4731</v>
      </c>
      <c r="G295" s="2">
        <v>173</v>
      </c>
      <c r="H295" s="2">
        <v>276</v>
      </c>
      <c r="I295" s="3">
        <v>28386</v>
      </c>
      <c r="J295" s="2">
        <v>28185</v>
      </c>
      <c r="K295" s="3">
        <v>89</v>
      </c>
      <c r="L295" s="2" t="s">
        <v>31</v>
      </c>
      <c r="M295" s="2" t="s">
        <v>416</v>
      </c>
      <c r="N295" s="2" t="s">
        <v>416</v>
      </c>
      <c r="O295" s="2" t="s">
        <v>26</v>
      </c>
      <c r="P295" s="12">
        <f t="shared" si="4"/>
        <v>0.18248432325794406</v>
      </c>
    </row>
    <row r="296" spans="1:16" ht="15.75" customHeight="1">
      <c r="A296" s="2" t="s">
        <v>352</v>
      </c>
      <c r="B296" s="2" t="s">
        <v>14</v>
      </c>
      <c r="C296" s="25">
        <v>45783</v>
      </c>
      <c r="D296" s="2" t="s">
        <v>43</v>
      </c>
      <c r="E296" s="2" t="s">
        <v>90</v>
      </c>
      <c r="F296" s="2">
        <v>1952</v>
      </c>
      <c r="G296" s="2">
        <v>344</v>
      </c>
      <c r="H296" s="2">
        <v>287</v>
      </c>
      <c r="I296" s="3">
        <v>15616</v>
      </c>
      <c r="J296" s="2">
        <v>15403</v>
      </c>
      <c r="K296" s="3">
        <v>235</v>
      </c>
      <c r="L296" s="2" t="s">
        <v>50</v>
      </c>
      <c r="M296" s="2" t="s">
        <v>25</v>
      </c>
      <c r="N296" s="2" t="s">
        <v>386</v>
      </c>
      <c r="O296" s="2" t="s">
        <v>21</v>
      </c>
      <c r="P296" s="12">
        <f t="shared" si="4"/>
        <v>0.16540727459016394</v>
      </c>
    </row>
    <row r="297" spans="1:16" ht="15.75" customHeight="1">
      <c r="A297" s="2" t="s">
        <v>353</v>
      </c>
      <c r="B297" s="2" t="s">
        <v>14</v>
      </c>
      <c r="C297" s="25">
        <v>45699</v>
      </c>
      <c r="D297" s="2" t="s">
        <v>58</v>
      </c>
      <c r="E297" s="2" t="s">
        <v>97</v>
      </c>
      <c r="F297" s="2">
        <v>3440</v>
      </c>
      <c r="G297" s="2">
        <v>13</v>
      </c>
      <c r="H297" s="2">
        <v>20</v>
      </c>
      <c r="I297" s="3">
        <v>58480</v>
      </c>
      <c r="J297" s="2">
        <v>58146</v>
      </c>
      <c r="K297" s="3">
        <v>210</v>
      </c>
      <c r="L297" s="2" t="s">
        <v>25</v>
      </c>
      <c r="M297" s="2" t="s">
        <v>381</v>
      </c>
      <c r="N297" s="2" t="s">
        <v>416</v>
      </c>
      <c r="O297" s="2" t="s">
        <v>32</v>
      </c>
      <c r="P297" s="12">
        <f t="shared" si="4"/>
        <v>5.9387824897400819E-2</v>
      </c>
    </row>
    <row r="298" spans="1:16" ht="15.75" customHeight="1">
      <c r="A298" s="2" t="s">
        <v>354</v>
      </c>
      <c r="B298" s="2" t="s">
        <v>14</v>
      </c>
      <c r="C298" s="25">
        <v>45650</v>
      </c>
      <c r="D298" s="2" t="s">
        <v>19</v>
      </c>
      <c r="E298" s="2" t="s">
        <v>20</v>
      </c>
      <c r="F298" s="2">
        <v>2166</v>
      </c>
      <c r="G298" s="2">
        <v>354</v>
      </c>
      <c r="H298" s="2">
        <v>117</v>
      </c>
      <c r="I298" s="3">
        <v>10830</v>
      </c>
      <c r="J298" s="2">
        <v>10245</v>
      </c>
      <c r="K298" s="3">
        <v>24</v>
      </c>
      <c r="L298" s="2" t="s">
        <v>31</v>
      </c>
      <c r="M298" s="2" t="s">
        <v>416</v>
      </c>
      <c r="N298" s="2" t="s">
        <v>416</v>
      </c>
      <c r="O298" s="2" t="s">
        <v>32</v>
      </c>
      <c r="P298" s="12">
        <f t="shared" si="4"/>
        <v>0.24349030470914126</v>
      </c>
    </row>
    <row r="299" spans="1:16" ht="15.75" customHeight="1">
      <c r="A299" s="2" t="s">
        <v>355</v>
      </c>
      <c r="B299" s="2" t="s">
        <v>36</v>
      </c>
      <c r="C299" s="25">
        <v>45589</v>
      </c>
      <c r="D299" s="2" t="s">
        <v>43</v>
      </c>
      <c r="E299" s="2" t="s">
        <v>48</v>
      </c>
      <c r="F299" s="2">
        <v>4303</v>
      </c>
      <c r="G299" s="2">
        <v>451</v>
      </c>
      <c r="H299" s="2">
        <v>286</v>
      </c>
      <c r="I299" s="3">
        <v>86060</v>
      </c>
      <c r="J299" s="2">
        <v>85823</v>
      </c>
      <c r="K299" s="3">
        <v>14</v>
      </c>
      <c r="L299" s="2" t="s">
        <v>25</v>
      </c>
      <c r="M299" s="2" t="s">
        <v>416</v>
      </c>
      <c r="N299" s="2" t="s">
        <v>416</v>
      </c>
      <c r="O299" s="2" t="s">
        <v>26</v>
      </c>
      <c r="P299" s="12">
        <f t="shared" si="4"/>
        <v>5.8563792702765516E-2</v>
      </c>
    </row>
    <row r="300" spans="1:16" ht="15.75" customHeight="1">
      <c r="A300" s="2" t="s">
        <v>356</v>
      </c>
      <c r="B300" s="2" t="s">
        <v>36</v>
      </c>
      <c r="C300" s="25">
        <v>45530</v>
      </c>
      <c r="D300" s="2" t="s">
        <v>43</v>
      </c>
      <c r="E300" s="2" t="s">
        <v>48</v>
      </c>
      <c r="F300" s="2">
        <v>2581</v>
      </c>
      <c r="G300" s="2">
        <v>517</v>
      </c>
      <c r="H300" s="2">
        <v>117</v>
      </c>
      <c r="I300" s="3">
        <v>23229</v>
      </c>
      <c r="J300" s="2">
        <v>22331</v>
      </c>
      <c r="K300" s="3">
        <v>70</v>
      </c>
      <c r="L300" s="2" t="s">
        <v>50</v>
      </c>
      <c r="M300" s="2" t="s">
        <v>416</v>
      </c>
      <c r="N300" s="2" t="s">
        <v>416</v>
      </c>
      <c r="O300" s="2" t="s">
        <v>26</v>
      </c>
      <c r="P300" s="12">
        <f t="shared" si="4"/>
        <v>0.13840458048129492</v>
      </c>
    </row>
    <row r="301" spans="1:16" ht="15.75" customHeight="1">
      <c r="A301" s="2" t="s">
        <v>357</v>
      </c>
      <c r="B301" s="2" t="s">
        <v>14</v>
      </c>
      <c r="C301" s="25">
        <v>45535</v>
      </c>
      <c r="D301" s="2" t="s">
        <v>38</v>
      </c>
      <c r="E301" s="2" t="s">
        <v>41</v>
      </c>
      <c r="F301" s="2">
        <v>4494</v>
      </c>
      <c r="G301" s="2">
        <v>717</v>
      </c>
      <c r="H301" s="2">
        <v>45</v>
      </c>
      <c r="I301" s="3">
        <v>62916</v>
      </c>
      <c r="J301" s="2">
        <v>62688</v>
      </c>
      <c r="K301" s="3">
        <v>191</v>
      </c>
      <c r="L301" s="2" t="s">
        <v>25</v>
      </c>
      <c r="M301" s="2" t="s">
        <v>31</v>
      </c>
      <c r="N301" s="2" t="s">
        <v>387</v>
      </c>
      <c r="O301" s="2" t="s">
        <v>17</v>
      </c>
      <c r="P301" s="12">
        <f t="shared" si="4"/>
        <v>8.3539958039290485E-2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1:N1048576">
    <cfRule type="top10" dxfId="112" priority="8" rank="10"/>
    <cfRule type="top10" dxfId="111" priority="7" rank="10"/>
  </conditionalFormatting>
  <conditionalFormatting sqref="P1:P1048576">
    <cfRule type="top10" dxfId="110" priority="6" rank="10"/>
    <cfRule type="top10" dxfId="109" priority="5" rank="10"/>
    <cfRule type="top10" dxfId="108" priority="4" rank="10"/>
    <cfRule type="top10" dxfId="107" priority="3" rank="10"/>
    <cfRule type="top10" dxfId="106" priority="2" rank="10"/>
    <cfRule type="top10" dxfId="105" priority="1" rank="10"/>
  </conditionalFormatting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0"/>
  <sheetViews>
    <sheetView zoomScale="70" zoomScaleNormal="70" workbookViewId="0">
      <pane ySplit="1" topLeftCell="A2" activePane="bottomLeft" state="frozen"/>
      <selection pane="bottomLeft" activeCell="L2" sqref="L2"/>
    </sheetView>
  </sheetViews>
  <sheetFormatPr defaultColWidth="14.44140625" defaultRowHeight="15" customHeight="1"/>
  <cols>
    <col min="1" max="1" width="22.77734375" style="6" customWidth="1"/>
    <col min="2" max="2" width="15.5546875" customWidth="1"/>
    <col min="3" max="3" width="19.77734375" customWidth="1"/>
    <col min="4" max="4" width="13.88671875" customWidth="1"/>
    <col min="5" max="5" width="20.77734375" customWidth="1"/>
    <col min="6" max="6" width="29.109375" customWidth="1"/>
    <col min="7" max="7" width="29.6640625" customWidth="1"/>
    <col min="8" max="8" width="24.21875" style="6" customWidth="1"/>
    <col min="9" max="9" width="29.6640625" customWidth="1"/>
    <col min="10" max="10" width="15" customWidth="1"/>
    <col min="11" max="11" width="25.6640625" customWidth="1"/>
    <col min="12" max="12" width="21.88671875" customWidth="1"/>
    <col min="13" max="13" width="22" customWidth="1"/>
  </cols>
  <sheetData>
    <row r="1" spans="1:13" ht="14.4">
      <c r="A1" s="4" t="s">
        <v>358</v>
      </c>
      <c r="B1" s="1" t="s">
        <v>1</v>
      </c>
      <c r="C1" s="18" t="s">
        <v>359</v>
      </c>
      <c r="D1" s="1" t="s">
        <v>360</v>
      </c>
      <c r="E1" s="1" t="s">
        <v>361</v>
      </c>
      <c r="F1" s="18" t="s">
        <v>401</v>
      </c>
      <c r="G1" s="1" t="s">
        <v>362</v>
      </c>
      <c r="H1" s="4" t="s">
        <v>426</v>
      </c>
      <c r="I1" s="1" t="s">
        <v>411</v>
      </c>
      <c r="J1" s="1" t="s">
        <v>363</v>
      </c>
      <c r="K1" s="33" t="s">
        <v>423</v>
      </c>
      <c r="L1" s="10" t="s">
        <v>415</v>
      </c>
      <c r="M1" s="33" t="s">
        <v>12</v>
      </c>
    </row>
    <row r="2" spans="1:13" ht="14.4">
      <c r="A2" s="5">
        <v>45446</v>
      </c>
      <c r="B2" s="2" t="s">
        <v>28</v>
      </c>
      <c r="C2" s="2">
        <v>1135</v>
      </c>
      <c r="D2" s="2">
        <v>88</v>
      </c>
      <c r="E2" s="2">
        <v>344084</v>
      </c>
      <c r="F2" s="19">
        <f>((C2-D2)/E2)*100</f>
        <v>0.30428616268120573</v>
      </c>
      <c r="G2" s="2">
        <v>8.06</v>
      </c>
      <c r="H2" s="5">
        <v>45446</v>
      </c>
      <c r="I2" s="2">
        <f>G2*100</f>
        <v>806</v>
      </c>
      <c r="J2" s="2">
        <v>5904</v>
      </c>
      <c r="K2">
        <f>(C2-D2)</f>
        <v>1047</v>
      </c>
      <c r="L2" s="11">
        <f>(G2/J2)*100</f>
        <v>0.13651761517615177</v>
      </c>
      <c r="M2" t="str">
        <f>VLOOKUP(B2,Posts!B:O,14,FALSE)</f>
        <v>SustainabilityDrive</v>
      </c>
    </row>
    <row r="3" spans="1:13" ht="14.4">
      <c r="A3" s="5">
        <v>45446</v>
      </c>
      <c r="B3" s="2" t="s">
        <v>36</v>
      </c>
      <c r="C3" s="2">
        <v>1312</v>
      </c>
      <c r="D3" s="2">
        <v>310</v>
      </c>
      <c r="E3" s="2">
        <v>42654</v>
      </c>
      <c r="F3" s="19">
        <f t="shared" ref="F3:F66" si="0">((C3-D3)/E3)*100</f>
        <v>2.3491348994232664</v>
      </c>
      <c r="G3" s="2">
        <v>4.9800000000000004</v>
      </c>
      <c r="H3" s="5">
        <v>45446</v>
      </c>
      <c r="I3" s="2">
        <f t="shared" ref="I3:I66" si="1">G3*100</f>
        <v>498.00000000000006</v>
      </c>
      <c r="J3" s="2">
        <v>9566</v>
      </c>
      <c r="K3">
        <f t="shared" ref="K3:K66" si="2">(C3-D3)</f>
        <v>1002</v>
      </c>
      <c r="L3" s="11">
        <f t="shared" ref="L3:L66" si="3">(G3/J3)*100</f>
        <v>5.2059376960066905E-2</v>
      </c>
      <c r="M3" t="str">
        <f>VLOOKUP(B3,Posts!B:O,14,FALSE)</f>
        <v>ModelYCampaign</v>
      </c>
    </row>
    <row r="4" spans="1:13" ht="14.4">
      <c r="A4" s="5">
        <v>45446</v>
      </c>
      <c r="B4" s="2" t="s">
        <v>14</v>
      </c>
      <c r="C4" s="2">
        <v>584</v>
      </c>
      <c r="D4" s="2">
        <v>169</v>
      </c>
      <c r="E4" s="2">
        <v>146834</v>
      </c>
      <c r="F4" s="19">
        <f t="shared" si="0"/>
        <v>0.28263208793603661</v>
      </c>
      <c r="G4" s="2">
        <v>8.31</v>
      </c>
      <c r="H4" s="5">
        <v>45446</v>
      </c>
      <c r="I4" s="2">
        <f t="shared" si="1"/>
        <v>831</v>
      </c>
      <c r="J4" s="2">
        <v>26752</v>
      </c>
      <c r="K4">
        <f t="shared" si="2"/>
        <v>415</v>
      </c>
      <c r="L4" s="11">
        <f t="shared" si="3"/>
        <v>3.1063098086124407E-2</v>
      </c>
      <c r="M4" t="str">
        <f>VLOOKUP(B4,Posts!B:O,14,FALSE)</f>
        <v>CybertruckLaunch</v>
      </c>
    </row>
    <row r="5" spans="1:13" ht="14.4">
      <c r="A5" s="5">
        <v>45446</v>
      </c>
      <c r="B5" s="2" t="s">
        <v>23</v>
      </c>
      <c r="C5" s="2">
        <v>1535</v>
      </c>
      <c r="D5" s="2">
        <v>445</v>
      </c>
      <c r="E5" s="2">
        <v>395536</v>
      </c>
      <c r="F5" s="19">
        <f t="shared" si="0"/>
        <v>0.27557542170624166</v>
      </c>
      <c r="G5" s="2">
        <v>4.1100000000000003</v>
      </c>
      <c r="H5" s="5">
        <v>45446</v>
      </c>
      <c r="I5" s="2">
        <f t="shared" si="1"/>
        <v>411.00000000000006</v>
      </c>
      <c r="J5" s="2">
        <v>30671</v>
      </c>
      <c r="K5">
        <f t="shared" si="2"/>
        <v>1090</v>
      </c>
      <c r="L5" s="11">
        <f t="shared" si="3"/>
        <v>1.3400280395161555E-2</v>
      </c>
      <c r="M5" t="str">
        <f>VLOOKUP(B5,Posts!B:O,14,FALSE)</f>
        <v>FSDUpdate</v>
      </c>
    </row>
    <row r="6" spans="1:13" ht="14.4">
      <c r="A6" s="5">
        <v>45453</v>
      </c>
      <c r="B6" s="2" t="s">
        <v>28</v>
      </c>
      <c r="C6" s="2">
        <v>656</v>
      </c>
      <c r="D6" s="2">
        <v>139</v>
      </c>
      <c r="E6" s="2">
        <v>49157</v>
      </c>
      <c r="F6" s="19">
        <f t="shared" si="0"/>
        <v>1.0517322049758935</v>
      </c>
      <c r="G6" s="2">
        <v>9.0500000000000007</v>
      </c>
      <c r="H6" s="5">
        <v>45453</v>
      </c>
      <c r="I6" s="2">
        <f t="shared" si="1"/>
        <v>905.00000000000011</v>
      </c>
      <c r="J6" s="2">
        <v>9920</v>
      </c>
      <c r="K6">
        <f t="shared" si="2"/>
        <v>517</v>
      </c>
      <c r="L6" s="11">
        <f t="shared" si="3"/>
        <v>9.1229838709677435E-2</v>
      </c>
      <c r="M6" t="str">
        <f>VLOOKUP(B6,Posts!B:O,14,FALSE)</f>
        <v>SustainabilityDrive</v>
      </c>
    </row>
    <row r="7" spans="1:13" ht="14.4">
      <c r="A7" s="5">
        <v>45453</v>
      </c>
      <c r="B7" s="2" t="s">
        <v>36</v>
      </c>
      <c r="C7" s="2">
        <v>1697</v>
      </c>
      <c r="D7" s="2">
        <v>414</v>
      </c>
      <c r="E7" s="2">
        <v>316555</v>
      </c>
      <c r="F7" s="19">
        <f t="shared" si="0"/>
        <v>0.40530081660374973</v>
      </c>
      <c r="G7" s="2">
        <v>2.37</v>
      </c>
      <c r="H7" s="5">
        <v>45453</v>
      </c>
      <c r="I7" s="2">
        <f t="shared" si="1"/>
        <v>237</v>
      </c>
      <c r="J7" s="2">
        <v>7924</v>
      </c>
      <c r="K7">
        <f t="shared" si="2"/>
        <v>1283</v>
      </c>
      <c r="L7" s="11">
        <f t="shared" si="3"/>
        <v>2.9909136799596163E-2</v>
      </c>
      <c r="M7" t="str">
        <f>VLOOKUP(B7,Posts!B:O,14,FALSE)</f>
        <v>ModelYCampaign</v>
      </c>
    </row>
    <row r="8" spans="1:13" ht="14.4">
      <c r="A8" s="5">
        <v>45453</v>
      </c>
      <c r="B8" s="2" t="s">
        <v>14</v>
      </c>
      <c r="C8" s="2">
        <v>436</v>
      </c>
      <c r="D8" s="2">
        <v>250</v>
      </c>
      <c r="E8" s="2">
        <v>254347</v>
      </c>
      <c r="F8" s="19">
        <f t="shared" si="0"/>
        <v>7.3128442639386351E-2</v>
      </c>
      <c r="G8" s="2">
        <v>4.01</v>
      </c>
      <c r="H8" s="5">
        <v>45453</v>
      </c>
      <c r="I8" s="2">
        <f t="shared" si="1"/>
        <v>401</v>
      </c>
      <c r="J8" s="2">
        <v>8912</v>
      </c>
      <c r="K8">
        <f t="shared" si="2"/>
        <v>186</v>
      </c>
      <c r="L8" s="11">
        <f t="shared" si="3"/>
        <v>4.4995511669658886E-2</v>
      </c>
      <c r="M8" t="str">
        <f>VLOOKUP(B8,Posts!B:O,14,FALSE)</f>
        <v>CybertruckLaunch</v>
      </c>
    </row>
    <row r="9" spans="1:13" ht="14.4">
      <c r="A9" s="5">
        <v>45453</v>
      </c>
      <c r="B9" s="2" t="s">
        <v>23</v>
      </c>
      <c r="C9" s="2">
        <v>1197</v>
      </c>
      <c r="D9" s="2">
        <v>203</v>
      </c>
      <c r="E9" s="2">
        <v>413878</v>
      </c>
      <c r="F9" s="19">
        <f t="shared" si="0"/>
        <v>0.24016739232334167</v>
      </c>
      <c r="G9" s="2">
        <v>3.16</v>
      </c>
      <c r="H9" s="5">
        <v>45453</v>
      </c>
      <c r="I9" s="2">
        <f t="shared" si="1"/>
        <v>316</v>
      </c>
      <c r="J9" s="2">
        <v>21205</v>
      </c>
      <c r="K9">
        <f t="shared" si="2"/>
        <v>994</v>
      </c>
      <c r="L9" s="11">
        <f t="shared" si="3"/>
        <v>1.4902145720348974E-2</v>
      </c>
      <c r="M9" t="str">
        <f>VLOOKUP(B9,Posts!B:O,14,FALSE)</f>
        <v>FSDUpdate</v>
      </c>
    </row>
    <row r="10" spans="1:13" ht="14.4">
      <c r="A10" s="5">
        <v>45460</v>
      </c>
      <c r="B10" s="2" t="s">
        <v>28</v>
      </c>
      <c r="C10" s="2">
        <v>1048</v>
      </c>
      <c r="D10" s="2">
        <v>155</v>
      </c>
      <c r="E10" s="2">
        <v>456946</v>
      </c>
      <c r="F10" s="19">
        <f t="shared" si="0"/>
        <v>0.19542790614208244</v>
      </c>
      <c r="G10" s="2">
        <v>2.46</v>
      </c>
      <c r="H10" s="5">
        <v>45460</v>
      </c>
      <c r="I10" s="2">
        <f t="shared" si="1"/>
        <v>246</v>
      </c>
      <c r="J10" s="2">
        <v>11329</v>
      </c>
      <c r="K10">
        <f t="shared" si="2"/>
        <v>893</v>
      </c>
      <c r="L10" s="11">
        <f t="shared" si="3"/>
        <v>2.1714184835378233E-2</v>
      </c>
      <c r="M10" t="str">
        <f>VLOOKUP(B10,Posts!B:O,14,FALSE)</f>
        <v>SustainabilityDrive</v>
      </c>
    </row>
    <row r="11" spans="1:13" ht="14.4">
      <c r="A11" s="5">
        <v>45460</v>
      </c>
      <c r="B11" s="2" t="s">
        <v>36</v>
      </c>
      <c r="C11" s="2">
        <v>1753</v>
      </c>
      <c r="D11" s="2">
        <v>371</v>
      </c>
      <c r="E11" s="2">
        <v>169496</v>
      </c>
      <c r="F11" s="19">
        <f t="shared" si="0"/>
        <v>0.8153584745362723</v>
      </c>
      <c r="G11" s="2">
        <v>8.11</v>
      </c>
      <c r="H11" s="5">
        <v>45460</v>
      </c>
      <c r="I11" s="2">
        <f t="shared" si="1"/>
        <v>811</v>
      </c>
      <c r="J11" s="2">
        <v>46670</v>
      </c>
      <c r="K11">
        <f t="shared" si="2"/>
        <v>1382</v>
      </c>
      <c r="L11" s="11">
        <f t="shared" si="3"/>
        <v>1.7377330190700663E-2</v>
      </c>
      <c r="M11" t="str">
        <f>VLOOKUP(B11,Posts!B:O,14,FALSE)</f>
        <v>ModelYCampaign</v>
      </c>
    </row>
    <row r="12" spans="1:13" ht="14.4">
      <c r="A12" s="5">
        <v>45460</v>
      </c>
      <c r="B12" s="2" t="s">
        <v>14</v>
      </c>
      <c r="C12" s="2">
        <v>1335</v>
      </c>
      <c r="D12" s="2">
        <v>40</v>
      </c>
      <c r="E12" s="2">
        <v>122732</v>
      </c>
      <c r="F12" s="19">
        <f t="shared" si="0"/>
        <v>1.0551445425805821</v>
      </c>
      <c r="G12" s="2">
        <v>8.19</v>
      </c>
      <c r="H12" s="5">
        <v>45460</v>
      </c>
      <c r="I12" s="2">
        <f t="shared" si="1"/>
        <v>819</v>
      </c>
      <c r="J12" s="2">
        <v>22482</v>
      </c>
      <c r="K12">
        <f t="shared" si="2"/>
        <v>1295</v>
      </c>
      <c r="L12" s="11">
        <f t="shared" si="3"/>
        <v>3.6429143314651719E-2</v>
      </c>
      <c r="M12" t="str">
        <f>VLOOKUP(B12,Posts!B:O,14,FALSE)</f>
        <v>CybertruckLaunch</v>
      </c>
    </row>
    <row r="13" spans="1:13" ht="14.4">
      <c r="A13" s="5">
        <v>45460</v>
      </c>
      <c r="B13" s="2" t="s">
        <v>23</v>
      </c>
      <c r="C13" s="2">
        <v>403</v>
      </c>
      <c r="D13" s="2">
        <v>66</v>
      </c>
      <c r="E13" s="2">
        <v>382851</v>
      </c>
      <c r="F13" s="19">
        <f t="shared" si="0"/>
        <v>8.8023800381871797E-2</v>
      </c>
      <c r="G13" s="2">
        <v>3.49</v>
      </c>
      <c r="H13" s="5">
        <v>45460</v>
      </c>
      <c r="I13" s="2">
        <f t="shared" si="1"/>
        <v>349</v>
      </c>
      <c r="J13" s="2">
        <v>24313</v>
      </c>
      <c r="K13">
        <f t="shared" si="2"/>
        <v>337</v>
      </c>
      <c r="L13" s="11">
        <f t="shared" si="3"/>
        <v>1.4354460576646239E-2</v>
      </c>
      <c r="M13" t="str">
        <f>VLOOKUP(B13,Posts!B:O,14,FALSE)</f>
        <v>FSDUpdate</v>
      </c>
    </row>
    <row r="14" spans="1:13" ht="14.4">
      <c r="A14" s="5">
        <v>45467</v>
      </c>
      <c r="B14" s="2" t="s">
        <v>28</v>
      </c>
      <c r="C14" s="2">
        <v>911</v>
      </c>
      <c r="D14" s="2">
        <v>282</v>
      </c>
      <c r="E14" s="2">
        <v>35664</v>
      </c>
      <c r="F14" s="19">
        <f t="shared" si="0"/>
        <v>1.7636832660385824</v>
      </c>
      <c r="G14" s="2">
        <v>6.92</v>
      </c>
      <c r="H14" s="5">
        <v>45467</v>
      </c>
      <c r="I14" s="2">
        <f t="shared" si="1"/>
        <v>692</v>
      </c>
      <c r="J14" s="2">
        <v>18050</v>
      </c>
      <c r="K14">
        <f t="shared" si="2"/>
        <v>629</v>
      </c>
      <c r="L14" s="11">
        <f t="shared" si="3"/>
        <v>3.8337950138504155E-2</v>
      </c>
      <c r="M14" t="str">
        <f>VLOOKUP(B14,Posts!B:O,14,FALSE)</f>
        <v>SustainabilityDrive</v>
      </c>
    </row>
    <row r="15" spans="1:13" ht="14.4">
      <c r="A15" s="5">
        <v>45467</v>
      </c>
      <c r="B15" s="2" t="s">
        <v>36</v>
      </c>
      <c r="C15" s="2">
        <v>1779</v>
      </c>
      <c r="D15" s="2">
        <v>109</v>
      </c>
      <c r="E15" s="2">
        <v>26295</v>
      </c>
      <c r="F15" s="19">
        <f t="shared" si="0"/>
        <v>6.3510173036698996</v>
      </c>
      <c r="G15" s="2">
        <v>9.1199999999999992</v>
      </c>
      <c r="H15" s="5">
        <v>45467</v>
      </c>
      <c r="I15" s="2">
        <f t="shared" si="1"/>
        <v>911.99999999999989</v>
      </c>
      <c r="J15" s="2">
        <v>30635</v>
      </c>
      <c r="K15">
        <f t="shared" si="2"/>
        <v>1670</v>
      </c>
      <c r="L15" s="11">
        <f t="shared" si="3"/>
        <v>2.9769871062510198E-2</v>
      </c>
      <c r="M15" t="str">
        <f>VLOOKUP(B15,Posts!B:O,14,FALSE)</f>
        <v>ModelYCampaign</v>
      </c>
    </row>
    <row r="16" spans="1:13" ht="14.4">
      <c r="A16" s="5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19">
        <f t="shared" si="0"/>
        <v>0.27980604582117208</v>
      </c>
      <c r="G16" s="2">
        <v>3.5</v>
      </c>
      <c r="H16" s="5">
        <v>45467</v>
      </c>
      <c r="I16" s="2">
        <f t="shared" si="1"/>
        <v>350</v>
      </c>
      <c r="J16" s="2">
        <v>31280</v>
      </c>
      <c r="K16">
        <f t="shared" si="2"/>
        <v>835</v>
      </c>
      <c r="L16" s="11">
        <f t="shared" si="3"/>
        <v>1.118925831202046E-2</v>
      </c>
      <c r="M16" t="str">
        <f>VLOOKUP(B16,Posts!B:O,14,FALSE)</f>
        <v>CybertruckLaunch</v>
      </c>
    </row>
    <row r="17" spans="1:13" ht="14.4">
      <c r="A17" s="5">
        <v>45467</v>
      </c>
      <c r="B17" s="2" t="s">
        <v>23</v>
      </c>
      <c r="C17" s="2">
        <v>308</v>
      </c>
      <c r="D17" s="2">
        <v>431</v>
      </c>
      <c r="E17" s="2">
        <v>426184</v>
      </c>
      <c r="F17" s="19">
        <f t="shared" si="0"/>
        <v>-2.8860773750305036E-2</v>
      </c>
      <c r="G17" s="2">
        <v>2.62</v>
      </c>
      <c r="H17" s="5">
        <v>45467</v>
      </c>
      <c r="I17" s="2">
        <f t="shared" si="1"/>
        <v>262</v>
      </c>
      <c r="J17" s="2">
        <v>1783</v>
      </c>
      <c r="K17">
        <f t="shared" si="2"/>
        <v>-123</v>
      </c>
      <c r="L17" s="11">
        <f t="shared" si="3"/>
        <v>0.14694335389792487</v>
      </c>
      <c r="M17" t="str">
        <f>VLOOKUP(B17,Posts!B:O,14,FALSE)</f>
        <v>FSDUpdate</v>
      </c>
    </row>
    <row r="18" spans="1:13" ht="14.4">
      <c r="A18" s="5">
        <v>45474</v>
      </c>
      <c r="B18" s="2" t="s">
        <v>28</v>
      </c>
      <c r="C18" s="2">
        <v>226</v>
      </c>
      <c r="D18" s="2">
        <v>445</v>
      </c>
      <c r="E18" s="2">
        <v>419447</v>
      </c>
      <c r="F18" s="19">
        <f t="shared" si="0"/>
        <v>-5.2211602419375981E-2</v>
      </c>
      <c r="G18" s="2">
        <v>9.36</v>
      </c>
      <c r="H18" s="5">
        <v>45474</v>
      </c>
      <c r="I18" s="2">
        <f t="shared" si="1"/>
        <v>936</v>
      </c>
      <c r="J18" s="2">
        <v>9566</v>
      </c>
      <c r="K18">
        <f t="shared" si="2"/>
        <v>-219</v>
      </c>
      <c r="L18" s="11">
        <f t="shared" si="3"/>
        <v>9.7846539828559481E-2</v>
      </c>
      <c r="M18" t="str">
        <f>VLOOKUP(B18,Posts!B:O,14,FALSE)</f>
        <v>SustainabilityDrive</v>
      </c>
    </row>
    <row r="19" spans="1:13" ht="14.4">
      <c r="A19" s="5">
        <v>45474</v>
      </c>
      <c r="B19" s="2" t="s">
        <v>36</v>
      </c>
      <c r="C19" s="2">
        <v>505</v>
      </c>
      <c r="D19" s="2">
        <v>441</v>
      </c>
      <c r="E19" s="2">
        <v>220020</v>
      </c>
      <c r="F19" s="19">
        <f t="shared" si="0"/>
        <v>2.9088264703208796E-2</v>
      </c>
      <c r="G19" s="2">
        <v>4.4800000000000004</v>
      </c>
      <c r="H19" s="5">
        <v>45474</v>
      </c>
      <c r="I19" s="2">
        <f t="shared" si="1"/>
        <v>448.00000000000006</v>
      </c>
      <c r="J19" s="2">
        <v>42307</v>
      </c>
      <c r="K19">
        <f t="shared" si="2"/>
        <v>64</v>
      </c>
      <c r="L19" s="11">
        <f t="shared" si="3"/>
        <v>1.0589264187959441E-2</v>
      </c>
      <c r="M19" t="str">
        <f>VLOOKUP(B19,Posts!B:O,14,FALSE)</f>
        <v>ModelYCampaign</v>
      </c>
    </row>
    <row r="20" spans="1:13" ht="14.4">
      <c r="A20" s="5">
        <v>45474</v>
      </c>
      <c r="B20" s="2" t="s">
        <v>14</v>
      </c>
      <c r="C20" s="2">
        <v>1420</v>
      </c>
      <c r="D20" s="2">
        <v>63</v>
      </c>
      <c r="E20" s="2">
        <v>315305</v>
      </c>
      <c r="F20" s="19">
        <f t="shared" si="0"/>
        <v>0.4303769366169265</v>
      </c>
      <c r="G20" s="2">
        <v>6.19</v>
      </c>
      <c r="H20" s="5">
        <v>45474</v>
      </c>
      <c r="I20" s="2">
        <f t="shared" si="1"/>
        <v>619</v>
      </c>
      <c r="J20" s="2">
        <v>5914</v>
      </c>
      <c r="K20">
        <f t="shared" si="2"/>
        <v>1357</v>
      </c>
      <c r="L20" s="11">
        <f t="shared" si="3"/>
        <v>0.1046668921203923</v>
      </c>
      <c r="M20" t="str">
        <f>VLOOKUP(B20,Posts!B:O,14,FALSE)</f>
        <v>CybertruckLaunch</v>
      </c>
    </row>
    <row r="21" spans="1:13" ht="15.75" customHeight="1">
      <c r="A21" s="5">
        <v>45474</v>
      </c>
      <c r="B21" s="2" t="s">
        <v>23</v>
      </c>
      <c r="C21" s="2">
        <v>144</v>
      </c>
      <c r="D21" s="2">
        <v>53</v>
      </c>
      <c r="E21" s="2">
        <v>113678</v>
      </c>
      <c r="F21" s="19">
        <f t="shared" si="0"/>
        <v>8.0050669434719113E-2</v>
      </c>
      <c r="G21" s="2">
        <v>8.7200000000000006</v>
      </c>
      <c r="H21" s="5">
        <v>45474</v>
      </c>
      <c r="I21" s="2">
        <f t="shared" si="1"/>
        <v>872.00000000000011</v>
      </c>
      <c r="J21" s="2">
        <v>30060</v>
      </c>
      <c r="K21">
        <f t="shared" si="2"/>
        <v>91</v>
      </c>
      <c r="L21" s="11">
        <f t="shared" si="3"/>
        <v>2.9008649367930805E-2</v>
      </c>
      <c r="M21" t="str">
        <f>VLOOKUP(B21,Posts!B:O,14,FALSE)</f>
        <v>FSDUpdate</v>
      </c>
    </row>
    <row r="22" spans="1:13" ht="15.75" customHeight="1">
      <c r="A22" s="5">
        <v>45481</v>
      </c>
      <c r="B22" s="2" t="s">
        <v>28</v>
      </c>
      <c r="C22" s="2">
        <v>1757</v>
      </c>
      <c r="D22" s="2">
        <v>85</v>
      </c>
      <c r="E22" s="2">
        <v>58223</v>
      </c>
      <c r="F22" s="19">
        <f t="shared" si="0"/>
        <v>2.8717173625543171</v>
      </c>
      <c r="G22" s="2">
        <v>8.74</v>
      </c>
      <c r="H22" s="5">
        <v>45481</v>
      </c>
      <c r="I22" s="2">
        <f t="shared" si="1"/>
        <v>874</v>
      </c>
      <c r="J22" s="2">
        <v>22728</v>
      </c>
      <c r="K22">
        <f t="shared" si="2"/>
        <v>1672</v>
      </c>
      <c r="L22" s="11">
        <f t="shared" si="3"/>
        <v>3.8454769447377683E-2</v>
      </c>
      <c r="M22" t="str">
        <f>VLOOKUP(B22,Posts!B:O,14,FALSE)</f>
        <v>SustainabilityDrive</v>
      </c>
    </row>
    <row r="23" spans="1:13" ht="15.75" customHeight="1">
      <c r="A23" s="5">
        <v>45481</v>
      </c>
      <c r="B23" s="2" t="s">
        <v>36</v>
      </c>
      <c r="C23" s="2">
        <v>350</v>
      </c>
      <c r="D23" s="2">
        <v>41</v>
      </c>
      <c r="E23" s="2">
        <v>251694</v>
      </c>
      <c r="F23" s="19">
        <f t="shared" si="0"/>
        <v>0.12276812319721568</v>
      </c>
      <c r="G23" s="2">
        <v>1.91</v>
      </c>
      <c r="H23" s="5">
        <v>45481</v>
      </c>
      <c r="I23" s="2">
        <f t="shared" si="1"/>
        <v>191</v>
      </c>
      <c r="J23" s="2">
        <v>38610</v>
      </c>
      <c r="K23">
        <f t="shared" si="2"/>
        <v>309</v>
      </c>
      <c r="L23" s="11">
        <f t="shared" si="3"/>
        <v>4.9469049469049462E-3</v>
      </c>
      <c r="M23" t="str">
        <f>VLOOKUP(B23,Posts!B:O,14,FALSE)</f>
        <v>ModelYCampaign</v>
      </c>
    </row>
    <row r="24" spans="1:13" ht="15.75" customHeight="1">
      <c r="A24" s="5">
        <v>45481</v>
      </c>
      <c r="B24" s="2" t="s">
        <v>14</v>
      </c>
      <c r="C24" s="2">
        <v>987</v>
      </c>
      <c r="D24" s="2">
        <v>440</v>
      </c>
      <c r="E24" s="2">
        <v>389810</v>
      </c>
      <c r="F24" s="19">
        <f t="shared" si="0"/>
        <v>0.140324773607655</v>
      </c>
      <c r="G24" s="2">
        <v>4.66</v>
      </c>
      <c r="H24" s="5">
        <v>45481</v>
      </c>
      <c r="I24" s="2">
        <f t="shared" si="1"/>
        <v>466</v>
      </c>
      <c r="J24" s="2">
        <v>2932</v>
      </c>
      <c r="K24">
        <f t="shared" si="2"/>
        <v>547</v>
      </c>
      <c r="L24" s="11">
        <f t="shared" si="3"/>
        <v>0.15893587994542974</v>
      </c>
      <c r="M24" t="str">
        <f>VLOOKUP(B24,Posts!B:O,14,FALSE)</f>
        <v>CybertruckLaunch</v>
      </c>
    </row>
    <row r="25" spans="1:13" ht="15.75" customHeight="1">
      <c r="A25" s="5">
        <v>45481</v>
      </c>
      <c r="B25" s="2" t="s">
        <v>23</v>
      </c>
      <c r="C25" s="2">
        <v>883</v>
      </c>
      <c r="D25" s="2">
        <v>369</v>
      </c>
      <c r="E25" s="2">
        <v>233694</v>
      </c>
      <c r="F25" s="19">
        <f t="shared" si="0"/>
        <v>0.21994574101175038</v>
      </c>
      <c r="G25" s="2">
        <v>2.88</v>
      </c>
      <c r="H25" s="5">
        <v>45481</v>
      </c>
      <c r="I25" s="2">
        <f t="shared" si="1"/>
        <v>288</v>
      </c>
      <c r="J25" s="2">
        <v>15071</v>
      </c>
      <c r="K25">
        <f t="shared" si="2"/>
        <v>514</v>
      </c>
      <c r="L25" s="11">
        <f t="shared" si="3"/>
        <v>1.9109548138809634E-2</v>
      </c>
      <c r="M25" t="str">
        <f>VLOOKUP(B25,Posts!B:O,14,FALSE)</f>
        <v>FSDUpdate</v>
      </c>
    </row>
    <row r="26" spans="1:13" ht="15.75" customHeight="1">
      <c r="A26" s="5">
        <v>45488</v>
      </c>
      <c r="B26" s="2" t="s">
        <v>28</v>
      </c>
      <c r="C26" s="2">
        <v>1960</v>
      </c>
      <c r="D26" s="2">
        <v>115</v>
      </c>
      <c r="E26" s="2">
        <v>154169</v>
      </c>
      <c r="F26" s="19">
        <f t="shared" si="0"/>
        <v>1.1967386439556591</v>
      </c>
      <c r="G26" s="2">
        <v>3.74</v>
      </c>
      <c r="H26" s="5">
        <v>45488</v>
      </c>
      <c r="I26" s="2">
        <f t="shared" si="1"/>
        <v>374</v>
      </c>
      <c r="J26" s="2">
        <v>10740</v>
      </c>
      <c r="K26">
        <f t="shared" si="2"/>
        <v>1845</v>
      </c>
      <c r="L26" s="11">
        <f t="shared" si="3"/>
        <v>3.4823091247672251E-2</v>
      </c>
      <c r="M26" t="str">
        <f>VLOOKUP(B26,Posts!B:O,14,FALSE)</f>
        <v>SustainabilityDrive</v>
      </c>
    </row>
    <row r="27" spans="1:13" ht="15.75" customHeight="1">
      <c r="A27" s="5">
        <v>45488</v>
      </c>
      <c r="B27" s="2" t="s">
        <v>36</v>
      </c>
      <c r="C27" s="2">
        <v>170</v>
      </c>
      <c r="D27" s="2">
        <v>334</v>
      </c>
      <c r="E27" s="2">
        <v>334626</v>
      </c>
      <c r="F27" s="19">
        <f t="shared" si="0"/>
        <v>-4.9009939454794309E-2</v>
      </c>
      <c r="G27" s="2">
        <v>6.44</v>
      </c>
      <c r="H27" s="5">
        <v>45488</v>
      </c>
      <c r="I27" s="2">
        <f t="shared" si="1"/>
        <v>644</v>
      </c>
      <c r="J27" s="2">
        <v>43420</v>
      </c>
      <c r="K27">
        <f t="shared" si="2"/>
        <v>-164</v>
      </c>
      <c r="L27" s="11">
        <f t="shared" si="3"/>
        <v>1.4831874712114234E-2</v>
      </c>
      <c r="M27" t="str">
        <f>VLOOKUP(B27,Posts!B:O,14,FALSE)</f>
        <v>ModelYCampaign</v>
      </c>
    </row>
    <row r="28" spans="1:13" ht="15.75" customHeight="1">
      <c r="A28" s="5">
        <v>45488</v>
      </c>
      <c r="B28" s="2" t="s">
        <v>14</v>
      </c>
      <c r="C28" s="2">
        <v>704</v>
      </c>
      <c r="D28" s="2">
        <v>275</v>
      </c>
      <c r="E28" s="2">
        <v>226002</v>
      </c>
      <c r="F28" s="19">
        <f t="shared" si="0"/>
        <v>0.18982132901478749</v>
      </c>
      <c r="G28" s="2">
        <v>8.56</v>
      </c>
      <c r="H28" s="5">
        <v>45488</v>
      </c>
      <c r="I28" s="2">
        <f t="shared" si="1"/>
        <v>856</v>
      </c>
      <c r="J28" s="2">
        <v>32393</v>
      </c>
      <c r="K28">
        <f t="shared" si="2"/>
        <v>429</v>
      </c>
      <c r="L28" s="11">
        <f t="shared" si="3"/>
        <v>2.6425462291235761E-2</v>
      </c>
      <c r="M28" t="str">
        <f>VLOOKUP(B28,Posts!B:O,14,FALSE)</f>
        <v>CybertruckLaunch</v>
      </c>
    </row>
    <row r="29" spans="1:13" ht="15.75" customHeight="1">
      <c r="A29" s="5">
        <v>45488</v>
      </c>
      <c r="B29" s="2" t="s">
        <v>23</v>
      </c>
      <c r="C29" s="2">
        <v>224</v>
      </c>
      <c r="D29" s="2">
        <v>64</v>
      </c>
      <c r="E29" s="2">
        <v>156683</v>
      </c>
      <c r="F29" s="19">
        <f t="shared" si="0"/>
        <v>0.10211701333265255</v>
      </c>
      <c r="G29" s="2">
        <v>4.5599999999999996</v>
      </c>
      <c r="H29" s="5">
        <v>45488</v>
      </c>
      <c r="I29" s="2">
        <f t="shared" si="1"/>
        <v>455.99999999999994</v>
      </c>
      <c r="J29" s="2">
        <v>28474</v>
      </c>
      <c r="K29">
        <f t="shared" si="2"/>
        <v>160</v>
      </c>
      <c r="L29" s="11">
        <f t="shared" si="3"/>
        <v>1.6014609819484441E-2</v>
      </c>
      <c r="M29" t="str">
        <f>VLOOKUP(B29,Posts!B:O,14,FALSE)</f>
        <v>FSDUpdate</v>
      </c>
    </row>
    <row r="30" spans="1:13" ht="15.75" customHeight="1">
      <c r="A30" s="5">
        <v>45495</v>
      </c>
      <c r="B30" s="2" t="s">
        <v>28</v>
      </c>
      <c r="C30" s="2">
        <v>508</v>
      </c>
      <c r="D30" s="2">
        <v>349</v>
      </c>
      <c r="E30" s="2">
        <v>473812</v>
      </c>
      <c r="F30" s="19">
        <f t="shared" si="0"/>
        <v>3.3557613568250697E-2</v>
      </c>
      <c r="G30" s="2">
        <v>7.88</v>
      </c>
      <c r="H30" s="5">
        <v>45495</v>
      </c>
      <c r="I30" s="2">
        <f t="shared" si="1"/>
        <v>788</v>
      </c>
      <c r="J30" s="2">
        <v>17328</v>
      </c>
      <c r="K30">
        <f t="shared" si="2"/>
        <v>159</v>
      </c>
      <c r="L30" s="11">
        <f t="shared" si="3"/>
        <v>4.5475530932594641E-2</v>
      </c>
      <c r="M30" t="str">
        <f>VLOOKUP(B30,Posts!B:O,14,FALSE)</f>
        <v>SustainabilityDrive</v>
      </c>
    </row>
    <row r="31" spans="1:13" ht="15.75" customHeight="1">
      <c r="A31" s="5">
        <v>45495</v>
      </c>
      <c r="B31" s="2" t="s">
        <v>36</v>
      </c>
      <c r="C31" s="2">
        <v>1391</v>
      </c>
      <c r="D31" s="2">
        <v>430</v>
      </c>
      <c r="E31" s="2">
        <v>295032</v>
      </c>
      <c r="F31" s="19">
        <f t="shared" si="0"/>
        <v>0.32572737872501967</v>
      </c>
      <c r="G31" s="2">
        <v>7.86</v>
      </c>
      <c r="H31" s="5">
        <v>45495</v>
      </c>
      <c r="I31" s="2">
        <f t="shared" si="1"/>
        <v>786</v>
      </c>
      <c r="J31" s="2">
        <v>26067</v>
      </c>
      <c r="K31">
        <f t="shared" si="2"/>
        <v>961</v>
      </c>
      <c r="L31" s="11">
        <f t="shared" si="3"/>
        <v>3.0153067096328694E-2</v>
      </c>
      <c r="M31" t="str">
        <f>VLOOKUP(B31,Posts!B:O,14,FALSE)</f>
        <v>ModelYCampaign</v>
      </c>
    </row>
    <row r="32" spans="1:13" ht="15.75" customHeight="1">
      <c r="A32" s="5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19">
        <f t="shared" si="0"/>
        <v>0.66371458255580551</v>
      </c>
      <c r="G32" s="2">
        <v>5.34</v>
      </c>
      <c r="H32" s="5">
        <v>45495</v>
      </c>
      <c r="I32" s="2">
        <f t="shared" si="1"/>
        <v>534</v>
      </c>
      <c r="J32" s="2">
        <v>32763</v>
      </c>
      <c r="K32">
        <f t="shared" si="2"/>
        <v>1316</v>
      </c>
      <c r="L32" s="11">
        <f t="shared" si="3"/>
        <v>1.6298873729511949E-2</v>
      </c>
      <c r="M32" t="str">
        <f>VLOOKUP(B32,Posts!B:O,14,FALSE)</f>
        <v>CybertruckLaunch</v>
      </c>
    </row>
    <row r="33" spans="1:13" ht="15.75" customHeight="1">
      <c r="A33" s="5">
        <v>45495</v>
      </c>
      <c r="B33" s="2" t="s">
        <v>23</v>
      </c>
      <c r="C33" s="2">
        <v>804</v>
      </c>
      <c r="D33" s="2">
        <v>487</v>
      </c>
      <c r="E33" s="2">
        <v>306564</v>
      </c>
      <c r="F33" s="19">
        <f t="shared" si="0"/>
        <v>0.10340418313957282</v>
      </c>
      <c r="G33" s="2">
        <v>5.52</v>
      </c>
      <c r="H33" s="5">
        <v>45495</v>
      </c>
      <c r="I33" s="2">
        <f t="shared" si="1"/>
        <v>552</v>
      </c>
      <c r="J33" s="2">
        <v>26452</v>
      </c>
      <c r="K33">
        <f t="shared" si="2"/>
        <v>317</v>
      </c>
      <c r="L33" s="11">
        <f t="shared" si="3"/>
        <v>2.0867987297746859E-2</v>
      </c>
      <c r="M33" t="str">
        <f>VLOOKUP(B33,Posts!B:O,14,FALSE)</f>
        <v>FSDUpdate</v>
      </c>
    </row>
    <row r="34" spans="1:13" ht="15.75" customHeight="1">
      <c r="A34" s="5">
        <v>45502</v>
      </c>
      <c r="B34" s="2" t="s">
        <v>28</v>
      </c>
      <c r="C34" s="2">
        <v>653</v>
      </c>
      <c r="D34" s="2">
        <v>112</v>
      </c>
      <c r="E34" s="2">
        <v>23664</v>
      </c>
      <c r="F34" s="19">
        <f t="shared" si="0"/>
        <v>2.2861730899256254</v>
      </c>
      <c r="G34" s="2">
        <v>4.05</v>
      </c>
      <c r="H34" s="5">
        <v>45502</v>
      </c>
      <c r="I34" s="2">
        <f t="shared" si="1"/>
        <v>405</v>
      </c>
      <c r="J34" s="2">
        <v>15353</v>
      </c>
      <c r="K34">
        <f t="shared" si="2"/>
        <v>541</v>
      </c>
      <c r="L34" s="11">
        <f t="shared" si="3"/>
        <v>2.637920927506025E-2</v>
      </c>
      <c r="M34" t="str">
        <f>VLOOKUP(B34,Posts!B:O,14,FALSE)</f>
        <v>SustainabilityDrive</v>
      </c>
    </row>
    <row r="35" spans="1:13" ht="15.75" customHeight="1">
      <c r="A35" s="5">
        <v>45502</v>
      </c>
      <c r="B35" s="2" t="s">
        <v>36</v>
      </c>
      <c r="C35" s="2">
        <v>160</v>
      </c>
      <c r="D35" s="2">
        <v>478</v>
      </c>
      <c r="E35" s="2">
        <v>435034</v>
      </c>
      <c r="F35" s="19">
        <f t="shared" si="0"/>
        <v>-7.309773488968678E-2</v>
      </c>
      <c r="G35" s="2">
        <v>7.73</v>
      </c>
      <c r="H35" s="5">
        <v>45502</v>
      </c>
      <c r="I35" s="2">
        <f t="shared" si="1"/>
        <v>773</v>
      </c>
      <c r="J35" s="2">
        <v>4839</v>
      </c>
      <c r="K35">
        <f t="shared" si="2"/>
        <v>-318</v>
      </c>
      <c r="L35" s="11">
        <f t="shared" si="3"/>
        <v>0.15974374870841085</v>
      </c>
      <c r="M35" t="str">
        <f>VLOOKUP(B35,Posts!B:O,14,FALSE)</f>
        <v>ModelYCampaign</v>
      </c>
    </row>
    <row r="36" spans="1:13" ht="15.75" customHeight="1">
      <c r="A36" s="5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19">
        <f t="shared" si="0"/>
        <v>0.51986619096302167</v>
      </c>
      <c r="G36" s="2">
        <v>4.3600000000000003</v>
      </c>
      <c r="H36" s="5">
        <v>45502</v>
      </c>
      <c r="I36" s="2">
        <f t="shared" si="1"/>
        <v>436.00000000000006</v>
      </c>
      <c r="J36" s="2">
        <v>39272</v>
      </c>
      <c r="K36">
        <f t="shared" si="2"/>
        <v>1495</v>
      </c>
      <c r="L36" s="11">
        <f t="shared" si="3"/>
        <v>1.110205744550825E-2</v>
      </c>
      <c r="M36" t="str">
        <f>VLOOKUP(B36,Posts!B:O,14,FALSE)</f>
        <v>CybertruckLaunch</v>
      </c>
    </row>
    <row r="37" spans="1:13" ht="15.75" customHeight="1">
      <c r="A37" s="5">
        <v>45502</v>
      </c>
      <c r="B37" s="2" t="s">
        <v>23</v>
      </c>
      <c r="C37" s="2">
        <v>576</v>
      </c>
      <c r="D37" s="2">
        <v>101</v>
      </c>
      <c r="E37" s="2">
        <v>62499</v>
      </c>
      <c r="F37" s="19">
        <f t="shared" si="0"/>
        <v>0.76001216019456308</v>
      </c>
      <c r="G37" s="2">
        <v>3.48</v>
      </c>
      <c r="H37" s="5">
        <v>45502</v>
      </c>
      <c r="I37" s="2">
        <f t="shared" si="1"/>
        <v>348</v>
      </c>
      <c r="J37" s="2">
        <v>16804</v>
      </c>
      <c r="K37">
        <f t="shared" si="2"/>
        <v>475</v>
      </c>
      <c r="L37" s="11">
        <f t="shared" si="3"/>
        <v>2.070935491549631E-2</v>
      </c>
      <c r="M37" t="str">
        <f>VLOOKUP(B37,Posts!B:O,14,FALSE)</f>
        <v>FSDUpdate</v>
      </c>
    </row>
    <row r="38" spans="1:13" ht="15.75" customHeight="1">
      <c r="A38" s="5">
        <v>45509</v>
      </c>
      <c r="B38" s="2" t="s">
        <v>28</v>
      </c>
      <c r="C38" s="2">
        <v>645</v>
      </c>
      <c r="D38" s="2">
        <v>293</v>
      </c>
      <c r="E38" s="2">
        <v>437968</v>
      </c>
      <c r="F38" s="19">
        <f t="shared" si="0"/>
        <v>8.0371168669857163E-2</v>
      </c>
      <c r="G38" s="2">
        <v>7.83</v>
      </c>
      <c r="H38" s="5">
        <v>45509</v>
      </c>
      <c r="I38" s="2">
        <f t="shared" si="1"/>
        <v>783</v>
      </c>
      <c r="J38" s="2">
        <v>49303</v>
      </c>
      <c r="K38">
        <f t="shared" si="2"/>
        <v>352</v>
      </c>
      <c r="L38" s="11">
        <f t="shared" si="3"/>
        <v>1.5881386528203152E-2</v>
      </c>
      <c r="M38" t="str">
        <f>VLOOKUP(B38,Posts!B:O,14,FALSE)</f>
        <v>SustainabilityDrive</v>
      </c>
    </row>
    <row r="39" spans="1:13" ht="15.75" customHeight="1">
      <c r="A39" s="5">
        <v>45509</v>
      </c>
      <c r="B39" s="2" t="s">
        <v>36</v>
      </c>
      <c r="C39" s="2">
        <v>214</v>
      </c>
      <c r="D39" s="2">
        <v>411</v>
      </c>
      <c r="E39" s="2">
        <v>125034</v>
      </c>
      <c r="F39" s="19">
        <f t="shared" si="0"/>
        <v>-0.15755714445670779</v>
      </c>
      <c r="G39" s="2">
        <v>6.11</v>
      </c>
      <c r="H39" s="5">
        <v>45509</v>
      </c>
      <c r="I39" s="2">
        <f t="shared" si="1"/>
        <v>611</v>
      </c>
      <c r="J39" s="2">
        <v>26455</v>
      </c>
      <c r="K39">
        <f t="shared" si="2"/>
        <v>-197</v>
      </c>
      <c r="L39" s="11">
        <f t="shared" si="3"/>
        <v>2.3095823095823097E-2</v>
      </c>
      <c r="M39" t="str">
        <f>VLOOKUP(B39,Posts!B:O,14,FALSE)</f>
        <v>ModelYCampaign</v>
      </c>
    </row>
    <row r="40" spans="1:13" ht="15.75" customHeight="1">
      <c r="A40" s="5">
        <v>45509</v>
      </c>
      <c r="B40" s="2" t="s">
        <v>14</v>
      </c>
      <c r="C40" s="2">
        <v>826</v>
      </c>
      <c r="D40" s="2">
        <v>498</v>
      </c>
      <c r="E40" s="2">
        <v>449994</v>
      </c>
      <c r="F40" s="19">
        <f t="shared" si="0"/>
        <v>7.2889860753698937E-2</v>
      </c>
      <c r="G40" s="2">
        <v>9.43</v>
      </c>
      <c r="H40" s="5">
        <v>45509</v>
      </c>
      <c r="I40" s="2">
        <f t="shared" si="1"/>
        <v>943</v>
      </c>
      <c r="J40" s="2">
        <v>12384</v>
      </c>
      <c r="K40">
        <f t="shared" si="2"/>
        <v>328</v>
      </c>
      <c r="L40" s="11">
        <f t="shared" si="3"/>
        <v>7.6146640826873391E-2</v>
      </c>
      <c r="M40" t="str">
        <f>VLOOKUP(B40,Posts!B:O,14,FALSE)</f>
        <v>CybertruckLaunch</v>
      </c>
    </row>
    <row r="41" spans="1:13" ht="15.75" customHeight="1">
      <c r="A41" s="5">
        <v>45509</v>
      </c>
      <c r="B41" s="2" t="s">
        <v>23</v>
      </c>
      <c r="C41" s="2">
        <v>460</v>
      </c>
      <c r="D41" s="2">
        <v>141</v>
      </c>
      <c r="E41" s="2">
        <v>320650</v>
      </c>
      <c r="F41" s="19">
        <f t="shared" si="0"/>
        <v>9.9485420240137221E-2</v>
      </c>
      <c r="G41" s="2">
        <v>4.04</v>
      </c>
      <c r="H41" s="5">
        <v>45509</v>
      </c>
      <c r="I41" s="2">
        <f t="shared" si="1"/>
        <v>404</v>
      </c>
      <c r="J41" s="2">
        <v>49372</v>
      </c>
      <c r="K41">
        <f t="shared" si="2"/>
        <v>319</v>
      </c>
      <c r="L41" s="11">
        <f t="shared" si="3"/>
        <v>8.1827756623187222E-3</v>
      </c>
      <c r="M41" t="str">
        <f>VLOOKUP(B41,Posts!B:O,14,FALSE)</f>
        <v>FSDUpdate</v>
      </c>
    </row>
    <row r="42" spans="1:13" ht="15.75" customHeight="1">
      <c r="A42" s="5">
        <v>45516</v>
      </c>
      <c r="B42" s="2" t="s">
        <v>28</v>
      </c>
      <c r="C42" s="2">
        <v>1528</v>
      </c>
      <c r="D42" s="2">
        <v>203</v>
      </c>
      <c r="E42" s="2">
        <v>489188</v>
      </c>
      <c r="F42" s="19">
        <f t="shared" si="0"/>
        <v>0.27085701202809553</v>
      </c>
      <c r="G42" s="2">
        <v>6.23</v>
      </c>
      <c r="H42" s="5">
        <v>45516</v>
      </c>
      <c r="I42" s="2">
        <f t="shared" si="1"/>
        <v>623</v>
      </c>
      <c r="J42" s="2">
        <v>47101</v>
      </c>
      <c r="K42">
        <f t="shared" si="2"/>
        <v>1325</v>
      </c>
      <c r="L42" s="11">
        <f t="shared" si="3"/>
        <v>1.322689539500223E-2</v>
      </c>
      <c r="M42" t="str">
        <f>VLOOKUP(B42,Posts!B:O,14,FALSE)</f>
        <v>SustainabilityDrive</v>
      </c>
    </row>
    <row r="43" spans="1:13" ht="15.75" customHeight="1">
      <c r="A43" s="5">
        <v>45516</v>
      </c>
      <c r="B43" s="2" t="s">
        <v>36</v>
      </c>
      <c r="C43" s="2">
        <v>1534</v>
      </c>
      <c r="D43" s="2">
        <v>200</v>
      </c>
      <c r="E43" s="2">
        <v>307612</v>
      </c>
      <c r="F43" s="19">
        <f t="shared" si="0"/>
        <v>0.43366318609156984</v>
      </c>
      <c r="G43" s="2">
        <v>6.01</v>
      </c>
      <c r="H43" s="5">
        <v>45516</v>
      </c>
      <c r="I43" s="2">
        <f t="shared" si="1"/>
        <v>601</v>
      </c>
      <c r="J43" s="2">
        <v>37903</v>
      </c>
      <c r="K43">
        <f t="shared" si="2"/>
        <v>1334</v>
      </c>
      <c r="L43" s="11">
        <f t="shared" si="3"/>
        <v>1.5856264675619344E-2</v>
      </c>
      <c r="M43" t="str">
        <f>VLOOKUP(B43,Posts!B:O,14,FALSE)</f>
        <v>ModelYCampaign</v>
      </c>
    </row>
    <row r="44" spans="1:13" ht="15.75" customHeight="1">
      <c r="A44" s="5">
        <v>45516</v>
      </c>
      <c r="B44" s="2" t="s">
        <v>14</v>
      </c>
      <c r="C44" s="2">
        <v>485</v>
      </c>
      <c r="D44" s="2">
        <v>448</v>
      </c>
      <c r="E44" s="2">
        <v>434883</v>
      </c>
      <c r="F44" s="19">
        <f t="shared" si="0"/>
        <v>8.5080354946042956E-3</v>
      </c>
      <c r="G44" s="2">
        <v>8.5500000000000007</v>
      </c>
      <c r="H44" s="5">
        <v>45516</v>
      </c>
      <c r="I44" s="2">
        <f t="shared" si="1"/>
        <v>855.00000000000011</v>
      </c>
      <c r="J44" s="2">
        <v>33258</v>
      </c>
      <c r="K44">
        <f t="shared" si="2"/>
        <v>37</v>
      </c>
      <c r="L44" s="11">
        <f t="shared" si="3"/>
        <v>2.570810030669313E-2</v>
      </c>
      <c r="M44" t="str">
        <f>VLOOKUP(B44,Posts!B:O,14,FALSE)</f>
        <v>CybertruckLaunch</v>
      </c>
    </row>
    <row r="45" spans="1:13" ht="15.75" customHeight="1">
      <c r="A45" s="5">
        <v>45516</v>
      </c>
      <c r="B45" s="2" t="s">
        <v>23</v>
      </c>
      <c r="C45" s="2">
        <v>1210</v>
      </c>
      <c r="D45" s="2">
        <v>178</v>
      </c>
      <c r="E45" s="2">
        <v>102042</v>
      </c>
      <c r="F45" s="19">
        <f t="shared" si="0"/>
        <v>1.011348268360087</v>
      </c>
      <c r="G45" s="2">
        <v>5.42</v>
      </c>
      <c r="H45" s="5">
        <v>45516</v>
      </c>
      <c r="I45" s="2">
        <f t="shared" si="1"/>
        <v>542</v>
      </c>
      <c r="J45" s="2">
        <v>6915</v>
      </c>
      <c r="K45">
        <f t="shared" si="2"/>
        <v>1032</v>
      </c>
      <c r="L45" s="11">
        <f t="shared" si="3"/>
        <v>7.8380332610267542E-2</v>
      </c>
      <c r="M45" t="str">
        <f>VLOOKUP(B45,Posts!B:O,14,FALSE)</f>
        <v>FSDUpdate</v>
      </c>
    </row>
    <row r="46" spans="1:13" ht="15.75" customHeight="1">
      <c r="A46" s="5">
        <v>45523</v>
      </c>
      <c r="B46" s="2" t="s">
        <v>28</v>
      </c>
      <c r="C46" s="2">
        <v>215</v>
      </c>
      <c r="D46" s="2">
        <v>139</v>
      </c>
      <c r="E46" s="2">
        <v>325444</v>
      </c>
      <c r="F46" s="19">
        <f t="shared" si="0"/>
        <v>2.335271198731579E-2</v>
      </c>
      <c r="G46" s="2">
        <v>3.25</v>
      </c>
      <c r="H46" s="5">
        <v>45523</v>
      </c>
      <c r="I46" s="2">
        <f t="shared" si="1"/>
        <v>325</v>
      </c>
      <c r="J46" s="2">
        <v>35501</v>
      </c>
      <c r="K46">
        <f t="shared" si="2"/>
        <v>76</v>
      </c>
      <c r="L46" s="11">
        <f t="shared" si="3"/>
        <v>9.1546716993887497E-3</v>
      </c>
      <c r="M46" t="str">
        <f>VLOOKUP(B46,Posts!B:O,14,FALSE)</f>
        <v>SustainabilityDrive</v>
      </c>
    </row>
    <row r="47" spans="1:13" ht="15.75" customHeight="1">
      <c r="A47" s="5">
        <v>45523</v>
      </c>
      <c r="B47" s="2" t="s">
        <v>36</v>
      </c>
      <c r="C47" s="2">
        <v>1078</v>
      </c>
      <c r="D47" s="2">
        <v>20</v>
      </c>
      <c r="E47" s="2">
        <v>183924</v>
      </c>
      <c r="F47" s="19">
        <f t="shared" si="0"/>
        <v>0.57523759813836151</v>
      </c>
      <c r="G47" s="2">
        <v>8.84</v>
      </c>
      <c r="H47" s="5">
        <v>45523</v>
      </c>
      <c r="I47" s="2">
        <f t="shared" si="1"/>
        <v>884</v>
      </c>
      <c r="J47" s="2">
        <v>14203</v>
      </c>
      <c r="K47">
        <f t="shared" si="2"/>
        <v>1058</v>
      </c>
      <c r="L47" s="11">
        <f t="shared" si="3"/>
        <v>6.224037175244667E-2</v>
      </c>
      <c r="M47" t="str">
        <f>VLOOKUP(B47,Posts!B:O,14,FALSE)</f>
        <v>ModelYCampaign</v>
      </c>
    </row>
    <row r="48" spans="1:13" ht="15.75" customHeight="1">
      <c r="A48" s="5">
        <v>45523</v>
      </c>
      <c r="B48" s="2" t="s">
        <v>14</v>
      </c>
      <c r="C48" s="2">
        <v>1751</v>
      </c>
      <c r="D48" s="2">
        <v>86</v>
      </c>
      <c r="E48" s="2">
        <v>188655</v>
      </c>
      <c r="F48" s="19">
        <f t="shared" si="0"/>
        <v>0.88256340939810773</v>
      </c>
      <c r="G48" s="2">
        <v>7.24</v>
      </c>
      <c r="H48" s="5">
        <v>45523</v>
      </c>
      <c r="I48" s="2">
        <f t="shared" si="1"/>
        <v>724</v>
      </c>
      <c r="J48" s="2">
        <v>22206</v>
      </c>
      <c r="K48">
        <f t="shared" si="2"/>
        <v>1665</v>
      </c>
      <c r="L48" s="11">
        <f t="shared" si="3"/>
        <v>3.2603800774565435E-2</v>
      </c>
      <c r="M48" t="str">
        <f>VLOOKUP(B48,Posts!B:O,14,FALSE)</f>
        <v>CybertruckLaunch</v>
      </c>
    </row>
    <row r="49" spans="1:13" ht="15.75" customHeight="1">
      <c r="A49" s="5">
        <v>45523</v>
      </c>
      <c r="B49" s="2" t="s">
        <v>23</v>
      </c>
      <c r="C49" s="2">
        <v>221</v>
      </c>
      <c r="D49" s="2">
        <v>31</v>
      </c>
      <c r="E49" s="2">
        <v>87443</v>
      </c>
      <c r="F49" s="19">
        <f t="shared" si="0"/>
        <v>0.21728440241071326</v>
      </c>
      <c r="G49" s="2">
        <v>6.19</v>
      </c>
      <c r="H49" s="5">
        <v>45523</v>
      </c>
      <c r="I49" s="2">
        <f t="shared" si="1"/>
        <v>619</v>
      </c>
      <c r="J49" s="2">
        <v>10283</v>
      </c>
      <c r="K49">
        <f t="shared" si="2"/>
        <v>190</v>
      </c>
      <c r="L49" s="11">
        <f t="shared" si="3"/>
        <v>6.0196440727414181E-2</v>
      </c>
      <c r="M49" t="str">
        <f>VLOOKUP(B49,Posts!B:O,14,FALSE)</f>
        <v>FSDUpdate</v>
      </c>
    </row>
    <row r="50" spans="1:13" ht="15.75" customHeight="1">
      <c r="A50" s="5">
        <v>45530</v>
      </c>
      <c r="B50" s="2" t="s">
        <v>28</v>
      </c>
      <c r="C50" s="2">
        <v>1685</v>
      </c>
      <c r="D50" s="2">
        <v>76</v>
      </c>
      <c r="E50" s="2">
        <v>453799</v>
      </c>
      <c r="F50" s="19">
        <f t="shared" si="0"/>
        <v>0.35456226214689768</v>
      </c>
      <c r="G50" s="2">
        <v>5.71</v>
      </c>
      <c r="H50" s="5">
        <v>45530</v>
      </c>
      <c r="I50" s="2">
        <f t="shared" si="1"/>
        <v>571</v>
      </c>
      <c r="J50" s="2">
        <v>24913</v>
      </c>
      <c r="K50">
        <f t="shared" si="2"/>
        <v>1609</v>
      </c>
      <c r="L50" s="11">
        <f t="shared" si="3"/>
        <v>2.29197607674708E-2</v>
      </c>
      <c r="M50" t="str">
        <f>VLOOKUP(B50,Posts!B:O,14,FALSE)</f>
        <v>SustainabilityDrive</v>
      </c>
    </row>
    <row r="51" spans="1:13" ht="15.75" customHeight="1">
      <c r="A51" s="5">
        <v>45530</v>
      </c>
      <c r="B51" s="2" t="s">
        <v>36</v>
      </c>
      <c r="C51" s="2">
        <v>248</v>
      </c>
      <c r="D51" s="2">
        <v>211</v>
      </c>
      <c r="E51" s="2">
        <v>379380</v>
      </c>
      <c r="F51" s="19">
        <f t="shared" si="0"/>
        <v>9.7527544941747053E-3</v>
      </c>
      <c r="G51" s="2">
        <v>9.0399999999999991</v>
      </c>
      <c r="H51" s="5">
        <v>45530</v>
      </c>
      <c r="I51" s="2">
        <f t="shared" si="1"/>
        <v>903.99999999999989</v>
      </c>
      <c r="J51" s="2">
        <v>26925</v>
      </c>
      <c r="K51">
        <f t="shared" si="2"/>
        <v>37</v>
      </c>
      <c r="L51" s="11">
        <f t="shared" si="3"/>
        <v>3.3574744661095633E-2</v>
      </c>
      <c r="M51" t="str">
        <f>VLOOKUP(B51,Posts!B:O,14,FALSE)</f>
        <v>ModelYCampaign</v>
      </c>
    </row>
    <row r="52" spans="1:13" ht="15.75" customHeight="1">
      <c r="A52" s="5">
        <v>45530</v>
      </c>
      <c r="B52" s="2" t="s">
        <v>14</v>
      </c>
      <c r="C52" s="2">
        <v>1300</v>
      </c>
      <c r="D52" s="2">
        <v>71</v>
      </c>
      <c r="E52" s="2">
        <v>186454</v>
      </c>
      <c r="F52" s="19">
        <f t="shared" si="0"/>
        <v>0.65914381026955704</v>
      </c>
      <c r="G52" s="2">
        <v>3.91</v>
      </c>
      <c r="H52" s="5">
        <v>45530</v>
      </c>
      <c r="I52" s="2">
        <f t="shared" si="1"/>
        <v>391</v>
      </c>
      <c r="J52" s="2">
        <v>9942</v>
      </c>
      <c r="K52">
        <f t="shared" si="2"/>
        <v>1229</v>
      </c>
      <c r="L52" s="11">
        <f t="shared" si="3"/>
        <v>3.9328102997384831E-2</v>
      </c>
      <c r="M52" t="str">
        <f>VLOOKUP(B52,Posts!B:O,14,FALSE)</f>
        <v>CybertruckLaunch</v>
      </c>
    </row>
    <row r="53" spans="1:13" ht="15.75" customHeight="1">
      <c r="A53" s="5">
        <v>45530</v>
      </c>
      <c r="B53" s="2" t="s">
        <v>23</v>
      </c>
      <c r="C53" s="2">
        <v>422</v>
      </c>
      <c r="D53" s="2">
        <v>394</v>
      </c>
      <c r="E53" s="2">
        <v>239044</v>
      </c>
      <c r="F53" s="19">
        <f t="shared" si="0"/>
        <v>1.1713324743561855E-2</v>
      </c>
      <c r="G53" s="2">
        <v>7.83</v>
      </c>
      <c r="H53" s="5">
        <v>45530</v>
      </c>
      <c r="I53" s="2">
        <f t="shared" si="1"/>
        <v>783</v>
      </c>
      <c r="J53" s="2">
        <v>32929</v>
      </c>
      <c r="K53">
        <f t="shared" si="2"/>
        <v>28</v>
      </c>
      <c r="L53" s="11">
        <f t="shared" si="3"/>
        <v>2.3778432384827963E-2</v>
      </c>
      <c r="M53" t="str">
        <f>VLOOKUP(B53,Posts!B:O,14,FALSE)</f>
        <v>FSDUpdate</v>
      </c>
    </row>
    <row r="54" spans="1:13" ht="15.75" customHeight="1">
      <c r="A54" s="5">
        <v>45537</v>
      </c>
      <c r="B54" s="2" t="s">
        <v>28</v>
      </c>
      <c r="C54" s="2">
        <v>1429</v>
      </c>
      <c r="D54" s="2">
        <v>182</v>
      </c>
      <c r="E54" s="2">
        <v>101332</v>
      </c>
      <c r="F54" s="19">
        <f t="shared" si="0"/>
        <v>1.2306082974775983</v>
      </c>
      <c r="G54" s="2">
        <v>7.16</v>
      </c>
      <c r="H54" s="5">
        <v>45537</v>
      </c>
      <c r="I54" s="2">
        <f t="shared" si="1"/>
        <v>716</v>
      </c>
      <c r="J54" s="2">
        <v>37829</v>
      </c>
      <c r="K54">
        <f t="shared" si="2"/>
        <v>1247</v>
      </c>
      <c r="L54" s="11">
        <f t="shared" si="3"/>
        <v>1.8927278014221893E-2</v>
      </c>
      <c r="M54" t="str">
        <f>VLOOKUP(B54,Posts!B:O,14,FALSE)</f>
        <v>SustainabilityDrive</v>
      </c>
    </row>
    <row r="55" spans="1:13" ht="15.75" customHeight="1">
      <c r="A55" s="5">
        <v>45537</v>
      </c>
      <c r="B55" s="2" t="s">
        <v>36</v>
      </c>
      <c r="C55" s="2">
        <v>1520</v>
      </c>
      <c r="D55" s="2">
        <v>475</v>
      </c>
      <c r="E55" s="2">
        <v>496982</v>
      </c>
      <c r="F55" s="19">
        <f t="shared" si="0"/>
        <v>0.21026918479944948</v>
      </c>
      <c r="G55" s="2">
        <v>6.41</v>
      </c>
      <c r="H55" s="5">
        <v>45537</v>
      </c>
      <c r="I55" s="2">
        <f t="shared" si="1"/>
        <v>641</v>
      </c>
      <c r="J55" s="2">
        <v>24384</v>
      </c>
      <c r="K55">
        <f t="shared" si="2"/>
        <v>1045</v>
      </c>
      <c r="L55" s="11">
        <f t="shared" si="3"/>
        <v>2.6287729658792655E-2</v>
      </c>
      <c r="M55" t="str">
        <f>VLOOKUP(B55,Posts!B:O,14,FALSE)</f>
        <v>ModelYCampaign</v>
      </c>
    </row>
    <row r="56" spans="1:13" ht="15.75" customHeight="1">
      <c r="A56" s="5">
        <v>45537</v>
      </c>
      <c r="B56" s="2" t="s">
        <v>14</v>
      </c>
      <c r="C56" s="2">
        <v>557</v>
      </c>
      <c r="D56" s="2">
        <v>360</v>
      </c>
      <c r="E56" s="2">
        <v>318779</v>
      </c>
      <c r="F56" s="19">
        <f t="shared" si="0"/>
        <v>6.1798299135137513E-2</v>
      </c>
      <c r="G56" s="2">
        <v>8.02</v>
      </c>
      <c r="H56" s="5">
        <v>45537</v>
      </c>
      <c r="I56" s="2">
        <f t="shared" si="1"/>
        <v>802</v>
      </c>
      <c r="J56" s="2">
        <v>25797</v>
      </c>
      <c r="K56">
        <f t="shared" si="2"/>
        <v>197</v>
      </c>
      <c r="L56" s="11">
        <f t="shared" si="3"/>
        <v>3.108888630460906E-2</v>
      </c>
      <c r="M56" t="str">
        <f>VLOOKUP(B56,Posts!B:O,14,FALSE)</f>
        <v>CybertruckLaunch</v>
      </c>
    </row>
    <row r="57" spans="1:13" ht="15.75" customHeight="1">
      <c r="A57" s="5">
        <v>45537</v>
      </c>
      <c r="B57" s="2" t="s">
        <v>23</v>
      </c>
      <c r="C57" s="2">
        <v>728</v>
      </c>
      <c r="D57" s="2">
        <v>395</v>
      </c>
      <c r="E57" s="2">
        <v>370971</v>
      </c>
      <c r="F57" s="19">
        <f t="shared" si="0"/>
        <v>8.9764429025449427E-2</v>
      </c>
      <c r="G57" s="2">
        <v>3.86</v>
      </c>
      <c r="H57" s="5">
        <v>45537</v>
      </c>
      <c r="I57" s="2">
        <f t="shared" si="1"/>
        <v>386</v>
      </c>
      <c r="J57" s="2">
        <v>12646</v>
      </c>
      <c r="K57">
        <f t="shared" si="2"/>
        <v>333</v>
      </c>
      <c r="L57" s="11">
        <f t="shared" si="3"/>
        <v>3.052348568717381E-2</v>
      </c>
      <c r="M57" t="str">
        <f>VLOOKUP(B57,Posts!B:O,14,FALSE)</f>
        <v>FSDUpdate</v>
      </c>
    </row>
    <row r="58" spans="1:13" ht="15.75" customHeight="1">
      <c r="A58" s="5">
        <v>45544</v>
      </c>
      <c r="B58" s="2" t="s">
        <v>28</v>
      </c>
      <c r="C58" s="2">
        <v>1592</v>
      </c>
      <c r="D58" s="2">
        <v>20</v>
      </c>
      <c r="E58" s="2">
        <v>378054</v>
      </c>
      <c r="F58" s="19">
        <f t="shared" si="0"/>
        <v>0.41581361392816901</v>
      </c>
      <c r="G58" s="2">
        <v>9.09</v>
      </c>
      <c r="H58" s="5">
        <v>45544</v>
      </c>
      <c r="I58" s="2">
        <f t="shared" si="1"/>
        <v>909</v>
      </c>
      <c r="J58" s="2">
        <v>26663</v>
      </c>
      <c r="K58">
        <f t="shared" si="2"/>
        <v>1572</v>
      </c>
      <c r="L58" s="11">
        <f t="shared" si="3"/>
        <v>3.4092187675805422E-2</v>
      </c>
      <c r="M58" t="str">
        <f>VLOOKUP(B58,Posts!B:O,14,FALSE)</f>
        <v>SustainabilityDrive</v>
      </c>
    </row>
    <row r="59" spans="1:13" ht="15.75" customHeight="1">
      <c r="A59" s="5">
        <v>45544</v>
      </c>
      <c r="B59" s="2" t="s">
        <v>36</v>
      </c>
      <c r="C59" s="2">
        <v>1842</v>
      </c>
      <c r="D59" s="2">
        <v>414</v>
      </c>
      <c r="E59" s="2">
        <v>307524</v>
      </c>
      <c r="F59" s="19">
        <f t="shared" si="0"/>
        <v>0.46435400163889645</v>
      </c>
      <c r="G59" s="2">
        <v>1.76</v>
      </c>
      <c r="H59" s="5">
        <v>45544</v>
      </c>
      <c r="I59" s="2">
        <f t="shared" si="1"/>
        <v>176</v>
      </c>
      <c r="J59" s="2">
        <v>40478</v>
      </c>
      <c r="K59">
        <f t="shared" si="2"/>
        <v>1428</v>
      </c>
      <c r="L59" s="11">
        <f t="shared" si="3"/>
        <v>4.3480409111122092E-3</v>
      </c>
      <c r="M59" t="str">
        <f>VLOOKUP(B59,Posts!B:O,14,FALSE)</f>
        <v>ModelYCampaign</v>
      </c>
    </row>
    <row r="60" spans="1:13" ht="15.75" customHeight="1">
      <c r="A60" s="5">
        <v>45544</v>
      </c>
      <c r="B60" s="2" t="s">
        <v>14</v>
      </c>
      <c r="C60" s="2">
        <v>751</v>
      </c>
      <c r="D60" s="2">
        <v>491</v>
      </c>
      <c r="E60" s="2">
        <v>434047</v>
      </c>
      <c r="F60" s="19">
        <f t="shared" si="0"/>
        <v>5.990134708914012E-2</v>
      </c>
      <c r="G60" s="2">
        <v>9.24</v>
      </c>
      <c r="H60" s="5">
        <v>45544</v>
      </c>
      <c r="I60" s="2">
        <f t="shared" si="1"/>
        <v>924</v>
      </c>
      <c r="J60" s="2">
        <v>15476</v>
      </c>
      <c r="K60">
        <f t="shared" si="2"/>
        <v>260</v>
      </c>
      <c r="L60" s="11">
        <f t="shared" si="3"/>
        <v>5.9705350219695009E-2</v>
      </c>
      <c r="M60" t="str">
        <f>VLOOKUP(B60,Posts!B:O,14,FALSE)</f>
        <v>CybertruckLaunch</v>
      </c>
    </row>
    <row r="61" spans="1:13" ht="15.75" customHeight="1">
      <c r="A61" s="5">
        <v>45544</v>
      </c>
      <c r="B61" s="2" t="s">
        <v>23</v>
      </c>
      <c r="C61" s="2">
        <v>1409</v>
      </c>
      <c r="D61" s="2">
        <v>309</v>
      </c>
      <c r="E61" s="2">
        <v>64583</v>
      </c>
      <c r="F61" s="19">
        <f t="shared" si="0"/>
        <v>1.703234597339857</v>
      </c>
      <c r="G61" s="2">
        <v>8.99</v>
      </c>
      <c r="H61" s="5">
        <v>45544</v>
      </c>
      <c r="I61" s="2">
        <f t="shared" si="1"/>
        <v>899</v>
      </c>
      <c r="J61" s="2">
        <v>10217</v>
      </c>
      <c r="K61">
        <f t="shared" si="2"/>
        <v>1100</v>
      </c>
      <c r="L61" s="11">
        <f t="shared" si="3"/>
        <v>8.7990603895468339E-2</v>
      </c>
      <c r="M61" t="str">
        <f>VLOOKUP(B61,Posts!B:O,14,FALSE)</f>
        <v>FSDUpdate</v>
      </c>
    </row>
    <row r="62" spans="1:13" ht="15.75" customHeight="1">
      <c r="A62" s="5">
        <v>45551</v>
      </c>
      <c r="B62" s="2" t="s">
        <v>28</v>
      </c>
      <c r="C62" s="2">
        <v>778</v>
      </c>
      <c r="D62" s="2">
        <v>401</v>
      </c>
      <c r="E62" s="2">
        <v>50793</v>
      </c>
      <c r="F62" s="19">
        <f t="shared" si="0"/>
        <v>0.74222825979957874</v>
      </c>
      <c r="G62" s="2">
        <v>3.4</v>
      </c>
      <c r="H62" s="5">
        <v>45551</v>
      </c>
      <c r="I62" s="2">
        <f t="shared" si="1"/>
        <v>340</v>
      </c>
      <c r="J62" s="2">
        <v>21939</v>
      </c>
      <c r="K62">
        <f t="shared" si="2"/>
        <v>377</v>
      </c>
      <c r="L62" s="11">
        <f t="shared" si="3"/>
        <v>1.5497515839372806E-2</v>
      </c>
      <c r="M62" t="str">
        <f>VLOOKUP(B62,Posts!B:O,14,FALSE)</f>
        <v>SustainabilityDrive</v>
      </c>
    </row>
    <row r="63" spans="1:13" ht="15.75" customHeight="1">
      <c r="A63" s="5">
        <v>45551</v>
      </c>
      <c r="B63" s="2" t="s">
        <v>36</v>
      </c>
      <c r="C63" s="2">
        <v>443</v>
      </c>
      <c r="D63" s="2">
        <v>345</v>
      </c>
      <c r="E63" s="2">
        <v>474162</v>
      </c>
      <c r="F63" s="19">
        <f t="shared" si="0"/>
        <v>2.0668041724136478E-2</v>
      </c>
      <c r="G63" s="2">
        <v>9.1999999999999993</v>
      </c>
      <c r="H63" s="5">
        <v>45551</v>
      </c>
      <c r="I63" s="2">
        <f t="shared" si="1"/>
        <v>919.99999999999989</v>
      </c>
      <c r="J63" s="2">
        <v>47462</v>
      </c>
      <c r="K63">
        <f t="shared" si="2"/>
        <v>98</v>
      </c>
      <c r="L63" s="11">
        <f t="shared" si="3"/>
        <v>1.9383928195187729E-2</v>
      </c>
      <c r="M63" t="str">
        <f>VLOOKUP(B63,Posts!B:O,14,FALSE)</f>
        <v>ModelYCampaign</v>
      </c>
    </row>
    <row r="64" spans="1:13" ht="15.75" customHeight="1">
      <c r="A64" s="5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19">
        <f t="shared" si="0"/>
        <v>0.2867301296020186</v>
      </c>
      <c r="G64" s="2">
        <v>8.59</v>
      </c>
      <c r="H64" s="5">
        <v>45551</v>
      </c>
      <c r="I64" s="2">
        <f t="shared" si="1"/>
        <v>859</v>
      </c>
      <c r="J64" s="2">
        <v>30270</v>
      </c>
      <c r="K64">
        <f t="shared" si="2"/>
        <v>1125</v>
      </c>
      <c r="L64" s="11">
        <f t="shared" si="3"/>
        <v>2.8377931945820944E-2</v>
      </c>
      <c r="M64" t="str">
        <f>VLOOKUP(B64,Posts!B:O,14,FALSE)</f>
        <v>CybertruckLaunch</v>
      </c>
    </row>
    <row r="65" spans="1:13" ht="15.75" customHeight="1">
      <c r="A65" s="5">
        <v>45551</v>
      </c>
      <c r="B65" s="2" t="s">
        <v>23</v>
      </c>
      <c r="C65" s="2">
        <v>123</v>
      </c>
      <c r="D65" s="2">
        <v>155</v>
      </c>
      <c r="E65" s="2">
        <v>119934</v>
      </c>
      <c r="F65" s="19">
        <f t="shared" si="0"/>
        <v>-2.6681341404439108E-2</v>
      </c>
      <c r="G65" s="2">
        <v>3.5</v>
      </c>
      <c r="H65" s="5">
        <v>45551</v>
      </c>
      <c r="I65" s="2">
        <f t="shared" si="1"/>
        <v>350</v>
      </c>
      <c r="J65" s="2">
        <v>5442</v>
      </c>
      <c r="K65">
        <f t="shared" si="2"/>
        <v>-32</v>
      </c>
      <c r="L65" s="11">
        <f t="shared" si="3"/>
        <v>6.4314590224182289E-2</v>
      </c>
      <c r="M65" t="str">
        <f>VLOOKUP(B65,Posts!B:O,14,FALSE)</f>
        <v>FSDUpdate</v>
      </c>
    </row>
    <row r="66" spans="1:13" ht="15.75" customHeight="1">
      <c r="A66" s="5">
        <v>45558</v>
      </c>
      <c r="B66" s="2" t="s">
        <v>28</v>
      </c>
      <c r="C66" s="2">
        <v>817</v>
      </c>
      <c r="D66" s="2">
        <v>151</v>
      </c>
      <c r="E66" s="2">
        <v>422625</v>
      </c>
      <c r="F66" s="19">
        <f t="shared" si="0"/>
        <v>0.15758651286601597</v>
      </c>
      <c r="G66" s="2">
        <v>2.36</v>
      </c>
      <c r="H66" s="5">
        <v>45558</v>
      </c>
      <c r="I66" s="2">
        <f t="shared" si="1"/>
        <v>236</v>
      </c>
      <c r="J66" s="2">
        <v>1083</v>
      </c>
      <c r="K66">
        <f t="shared" si="2"/>
        <v>666</v>
      </c>
      <c r="L66" s="11">
        <f t="shared" si="3"/>
        <v>0.21791320406278855</v>
      </c>
      <c r="M66" t="str">
        <f>VLOOKUP(B66,Posts!B:O,14,FALSE)</f>
        <v>SustainabilityDrive</v>
      </c>
    </row>
    <row r="67" spans="1:13" ht="15.75" customHeight="1">
      <c r="A67" s="5">
        <v>45558</v>
      </c>
      <c r="B67" s="2" t="s">
        <v>36</v>
      </c>
      <c r="C67" s="2">
        <v>198</v>
      </c>
      <c r="D67" s="2">
        <v>217</v>
      </c>
      <c r="E67" s="2">
        <v>239753</v>
      </c>
      <c r="F67" s="19">
        <f t="shared" ref="F67:F130" si="4">((C67-D67)/E67)*100</f>
        <v>-7.924822629956663E-3</v>
      </c>
      <c r="G67" s="2">
        <v>7.36</v>
      </c>
      <c r="H67" s="5">
        <v>45558</v>
      </c>
      <c r="I67" s="2">
        <f t="shared" ref="I67:I130" si="5">G67*100</f>
        <v>736</v>
      </c>
      <c r="J67" s="2">
        <v>11901</v>
      </c>
      <c r="K67">
        <f t="shared" ref="K67:K130" si="6">(C67-D67)</f>
        <v>-19</v>
      </c>
      <c r="L67" s="11">
        <f t="shared" ref="L67:L130" si="7">(G67/J67)*100</f>
        <v>6.1843542559448787E-2</v>
      </c>
      <c r="M67" t="str">
        <f>VLOOKUP(B67,Posts!B:O,14,FALSE)</f>
        <v>ModelYCampaign</v>
      </c>
    </row>
    <row r="68" spans="1:13" ht="15.75" customHeight="1">
      <c r="A68" s="5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19">
        <f t="shared" si="4"/>
        <v>0.62566104068286432</v>
      </c>
      <c r="G68" s="2">
        <v>8.5500000000000007</v>
      </c>
      <c r="H68" s="5">
        <v>45558</v>
      </c>
      <c r="I68" s="2">
        <f t="shared" si="5"/>
        <v>855.00000000000011</v>
      </c>
      <c r="J68" s="2">
        <v>24018</v>
      </c>
      <c r="K68">
        <f t="shared" si="6"/>
        <v>1680</v>
      </c>
      <c r="L68" s="11">
        <f t="shared" si="7"/>
        <v>3.5598301274044467E-2</v>
      </c>
      <c r="M68" t="str">
        <f>VLOOKUP(B68,Posts!B:O,14,FALSE)</f>
        <v>CybertruckLaunch</v>
      </c>
    </row>
    <row r="69" spans="1:13" ht="15.75" customHeight="1">
      <c r="A69" s="5">
        <v>45558</v>
      </c>
      <c r="B69" s="2" t="s">
        <v>23</v>
      </c>
      <c r="C69" s="2">
        <v>1218</v>
      </c>
      <c r="D69" s="2">
        <v>212</v>
      </c>
      <c r="E69" s="2">
        <v>63177</v>
      </c>
      <c r="F69" s="19">
        <f t="shared" si="4"/>
        <v>1.592351646960128</v>
      </c>
      <c r="G69" s="2">
        <v>8.1300000000000008</v>
      </c>
      <c r="H69" s="5">
        <v>45558</v>
      </c>
      <c r="I69" s="2">
        <f t="shared" si="5"/>
        <v>813.00000000000011</v>
      </c>
      <c r="J69" s="2">
        <v>38883</v>
      </c>
      <c r="K69">
        <f t="shared" si="6"/>
        <v>1006</v>
      </c>
      <c r="L69" s="11">
        <f t="shared" si="7"/>
        <v>2.0908880487616698E-2</v>
      </c>
      <c r="M69" t="str">
        <f>VLOOKUP(B69,Posts!B:O,14,FALSE)</f>
        <v>FSDUpdate</v>
      </c>
    </row>
    <row r="70" spans="1:13" ht="15.75" customHeight="1">
      <c r="A70" s="5">
        <v>45565</v>
      </c>
      <c r="B70" s="2" t="s">
        <v>28</v>
      </c>
      <c r="C70" s="2">
        <v>1433</v>
      </c>
      <c r="D70" s="2">
        <v>408</v>
      </c>
      <c r="E70" s="2">
        <v>370269</v>
      </c>
      <c r="F70" s="19">
        <f t="shared" si="4"/>
        <v>0.27682576721248608</v>
      </c>
      <c r="G70" s="2">
        <v>3.3</v>
      </c>
      <c r="H70" s="5">
        <v>45565</v>
      </c>
      <c r="I70" s="2">
        <f t="shared" si="5"/>
        <v>330</v>
      </c>
      <c r="J70" s="2">
        <v>30575</v>
      </c>
      <c r="K70">
        <f t="shared" si="6"/>
        <v>1025</v>
      </c>
      <c r="L70" s="11">
        <f t="shared" si="7"/>
        <v>1.079313164349959E-2</v>
      </c>
      <c r="M70" t="str">
        <f>VLOOKUP(B70,Posts!B:O,14,FALSE)</f>
        <v>SustainabilityDrive</v>
      </c>
    </row>
    <row r="71" spans="1:13" ht="15.75" customHeight="1">
      <c r="A71" s="5">
        <v>45565</v>
      </c>
      <c r="B71" s="2" t="s">
        <v>36</v>
      </c>
      <c r="C71" s="2">
        <v>250</v>
      </c>
      <c r="D71" s="2">
        <v>429</v>
      </c>
      <c r="E71" s="2">
        <v>453423</v>
      </c>
      <c r="F71" s="19">
        <f t="shared" si="4"/>
        <v>-3.9477485703195474E-2</v>
      </c>
      <c r="G71" s="2">
        <v>1.77</v>
      </c>
      <c r="H71" s="5">
        <v>45565</v>
      </c>
      <c r="I71" s="2">
        <f t="shared" si="5"/>
        <v>177</v>
      </c>
      <c r="J71" s="2">
        <v>2315</v>
      </c>
      <c r="K71">
        <f t="shared" si="6"/>
        <v>-179</v>
      </c>
      <c r="L71" s="11">
        <f t="shared" si="7"/>
        <v>7.6457883369330445E-2</v>
      </c>
      <c r="M71" t="str">
        <f>VLOOKUP(B71,Posts!B:O,14,FALSE)</f>
        <v>ModelYCampaign</v>
      </c>
    </row>
    <row r="72" spans="1:13" ht="15.75" customHeight="1">
      <c r="A72" s="5">
        <v>45565</v>
      </c>
      <c r="B72" s="2" t="s">
        <v>14</v>
      </c>
      <c r="C72" s="2">
        <v>752</v>
      </c>
      <c r="D72" s="2">
        <v>153</v>
      </c>
      <c r="E72" s="2">
        <v>64906</v>
      </c>
      <c r="F72" s="19">
        <f t="shared" si="4"/>
        <v>0.92287307798970819</v>
      </c>
      <c r="G72" s="2">
        <v>2.09</v>
      </c>
      <c r="H72" s="5">
        <v>45565</v>
      </c>
      <c r="I72" s="2">
        <f t="shared" si="5"/>
        <v>209</v>
      </c>
      <c r="J72" s="2">
        <v>12148</v>
      </c>
      <c r="K72">
        <f t="shared" si="6"/>
        <v>599</v>
      </c>
      <c r="L72" s="11">
        <f t="shared" si="7"/>
        <v>1.7204478103391502E-2</v>
      </c>
      <c r="M72" t="str">
        <f>VLOOKUP(B72,Posts!B:O,14,FALSE)</f>
        <v>CybertruckLaunch</v>
      </c>
    </row>
    <row r="73" spans="1:13" ht="15.75" customHeight="1">
      <c r="A73" s="5">
        <v>45565</v>
      </c>
      <c r="B73" s="2" t="s">
        <v>23</v>
      </c>
      <c r="C73" s="2">
        <v>1918</v>
      </c>
      <c r="D73" s="2">
        <v>212</v>
      </c>
      <c r="E73" s="2">
        <v>94360</v>
      </c>
      <c r="F73" s="19">
        <f t="shared" si="4"/>
        <v>1.8079694785926241</v>
      </c>
      <c r="G73" s="2">
        <v>7.36</v>
      </c>
      <c r="H73" s="5">
        <v>45565</v>
      </c>
      <c r="I73" s="2">
        <f t="shared" si="5"/>
        <v>736</v>
      </c>
      <c r="J73" s="2">
        <v>36851</v>
      </c>
      <c r="K73">
        <f t="shared" si="6"/>
        <v>1706</v>
      </c>
      <c r="L73" s="11">
        <f t="shared" si="7"/>
        <v>1.9972320968223389E-2</v>
      </c>
      <c r="M73" t="str">
        <f>VLOOKUP(B73,Posts!B:O,14,FALSE)</f>
        <v>FSDUpdate</v>
      </c>
    </row>
    <row r="74" spans="1:13" ht="15.75" customHeight="1">
      <c r="A74" s="5">
        <v>45572</v>
      </c>
      <c r="B74" s="2" t="s">
        <v>28</v>
      </c>
      <c r="C74" s="2">
        <v>1939</v>
      </c>
      <c r="D74" s="2">
        <v>67</v>
      </c>
      <c r="E74" s="2">
        <v>187183</v>
      </c>
      <c r="F74" s="19">
        <f t="shared" si="4"/>
        <v>1.000090820213374</v>
      </c>
      <c r="G74" s="2">
        <v>6.25</v>
      </c>
      <c r="H74" s="5">
        <v>45572</v>
      </c>
      <c r="I74" s="2">
        <f t="shared" si="5"/>
        <v>625</v>
      </c>
      <c r="J74" s="2">
        <v>41215</v>
      </c>
      <c r="K74">
        <f t="shared" si="6"/>
        <v>1872</v>
      </c>
      <c r="L74" s="11">
        <f t="shared" si="7"/>
        <v>1.5164381899793763E-2</v>
      </c>
      <c r="M74" t="str">
        <f>VLOOKUP(B74,Posts!B:O,14,FALSE)</f>
        <v>SustainabilityDrive</v>
      </c>
    </row>
    <row r="75" spans="1:13" ht="15.75" customHeight="1">
      <c r="A75" s="5">
        <v>45572</v>
      </c>
      <c r="B75" s="2" t="s">
        <v>36</v>
      </c>
      <c r="C75" s="2">
        <v>1929</v>
      </c>
      <c r="D75" s="2">
        <v>267</v>
      </c>
      <c r="E75" s="2">
        <v>379363</v>
      </c>
      <c r="F75" s="19">
        <f t="shared" si="4"/>
        <v>0.43810281972675247</v>
      </c>
      <c r="G75" s="2">
        <v>1.75</v>
      </c>
      <c r="H75" s="5">
        <v>45572</v>
      </c>
      <c r="I75" s="2">
        <f t="shared" si="5"/>
        <v>175</v>
      </c>
      <c r="J75" s="2">
        <v>43836</v>
      </c>
      <c r="K75">
        <f t="shared" si="6"/>
        <v>1662</v>
      </c>
      <c r="L75" s="11">
        <f t="shared" si="7"/>
        <v>3.9921525686650245E-3</v>
      </c>
      <c r="M75" t="str">
        <f>VLOOKUP(B75,Posts!B:O,14,FALSE)</f>
        <v>ModelYCampaign</v>
      </c>
    </row>
    <row r="76" spans="1:13" ht="15.75" customHeight="1">
      <c r="A76" s="5">
        <v>45572</v>
      </c>
      <c r="B76" s="2" t="s">
        <v>14</v>
      </c>
      <c r="C76" s="2">
        <v>437</v>
      </c>
      <c r="D76" s="2">
        <v>330</v>
      </c>
      <c r="E76" s="2">
        <v>476486</v>
      </c>
      <c r="F76" s="19">
        <f t="shared" si="4"/>
        <v>2.2456063766826309E-2</v>
      </c>
      <c r="G76" s="2">
        <v>4.97</v>
      </c>
      <c r="H76" s="5">
        <v>45572</v>
      </c>
      <c r="I76" s="2">
        <f t="shared" si="5"/>
        <v>497</v>
      </c>
      <c r="J76" s="2">
        <v>4509</v>
      </c>
      <c r="K76">
        <f t="shared" si="6"/>
        <v>107</v>
      </c>
      <c r="L76" s="11">
        <f t="shared" si="7"/>
        <v>0.11022399645154136</v>
      </c>
      <c r="M76" t="str">
        <f>VLOOKUP(B76,Posts!B:O,14,FALSE)</f>
        <v>CybertruckLaunch</v>
      </c>
    </row>
    <row r="77" spans="1:13" ht="15.75" customHeight="1">
      <c r="A77" s="5">
        <v>45572</v>
      </c>
      <c r="B77" s="2" t="s">
        <v>23</v>
      </c>
      <c r="C77" s="2">
        <v>307</v>
      </c>
      <c r="D77" s="2">
        <v>189</v>
      </c>
      <c r="E77" s="2">
        <v>117767</v>
      </c>
      <c r="F77" s="19">
        <f t="shared" si="4"/>
        <v>0.10019784829366461</v>
      </c>
      <c r="G77" s="2">
        <v>9.3000000000000007</v>
      </c>
      <c r="H77" s="5">
        <v>45572</v>
      </c>
      <c r="I77" s="2">
        <f t="shared" si="5"/>
        <v>930.00000000000011</v>
      </c>
      <c r="J77" s="2">
        <v>27822</v>
      </c>
      <c r="K77">
        <f t="shared" si="6"/>
        <v>118</v>
      </c>
      <c r="L77" s="11">
        <f t="shared" si="7"/>
        <v>3.3426784558982105E-2</v>
      </c>
      <c r="M77" t="str">
        <f>VLOOKUP(B77,Posts!B:O,14,FALSE)</f>
        <v>FSDUpdate</v>
      </c>
    </row>
    <row r="78" spans="1:13" ht="15.75" customHeight="1">
      <c r="A78" s="5">
        <v>45579</v>
      </c>
      <c r="B78" s="2" t="s">
        <v>28</v>
      </c>
      <c r="C78" s="2">
        <v>1527</v>
      </c>
      <c r="D78" s="2">
        <v>303</v>
      </c>
      <c r="E78" s="2">
        <v>388555</v>
      </c>
      <c r="F78" s="19">
        <f t="shared" si="4"/>
        <v>0.31501331857780751</v>
      </c>
      <c r="G78" s="2">
        <v>8.9</v>
      </c>
      <c r="H78" s="5">
        <v>45579</v>
      </c>
      <c r="I78" s="2">
        <f t="shared" si="5"/>
        <v>890</v>
      </c>
      <c r="J78" s="2">
        <v>36397</v>
      </c>
      <c r="K78">
        <f t="shared" si="6"/>
        <v>1224</v>
      </c>
      <c r="L78" s="11">
        <f t="shared" si="7"/>
        <v>2.4452564771821853E-2</v>
      </c>
      <c r="M78" t="str">
        <f>VLOOKUP(B78,Posts!B:O,14,FALSE)</f>
        <v>SustainabilityDrive</v>
      </c>
    </row>
    <row r="79" spans="1:13" ht="15.75" customHeight="1">
      <c r="A79" s="5">
        <v>45579</v>
      </c>
      <c r="B79" s="2" t="s">
        <v>36</v>
      </c>
      <c r="C79" s="2">
        <v>643</v>
      </c>
      <c r="D79" s="2">
        <v>358</v>
      </c>
      <c r="E79" s="2">
        <v>157599</v>
      </c>
      <c r="F79" s="19">
        <f t="shared" si="4"/>
        <v>0.18083871090552606</v>
      </c>
      <c r="G79" s="2">
        <v>3.88</v>
      </c>
      <c r="H79" s="5">
        <v>45579</v>
      </c>
      <c r="I79" s="2">
        <f t="shared" si="5"/>
        <v>388</v>
      </c>
      <c r="J79" s="2">
        <v>7285</v>
      </c>
      <c r="K79">
        <f t="shared" si="6"/>
        <v>285</v>
      </c>
      <c r="L79" s="11">
        <f t="shared" si="7"/>
        <v>5.3260123541523673E-2</v>
      </c>
      <c r="M79" t="str">
        <f>VLOOKUP(B79,Posts!B:O,14,FALSE)</f>
        <v>ModelYCampaign</v>
      </c>
    </row>
    <row r="80" spans="1:13" ht="15.75" customHeight="1">
      <c r="A80" s="5">
        <v>45579</v>
      </c>
      <c r="B80" s="2" t="s">
        <v>14</v>
      </c>
      <c r="C80" s="2">
        <v>201</v>
      </c>
      <c r="D80" s="2">
        <v>221</v>
      </c>
      <c r="E80" s="2">
        <v>309772</v>
      </c>
      <c r="F80" s="19">
        <f t="shared" si="4"/>
        <v>-6.4563614529395824E-3</v>
      </c>
      <c r="G80" s="2">
        <v>5.9</v>
      </c>
      <c r="H80" s="5">
        <v>45579</v>
      </c>
      <c r="I80" s="2">
        <f t="shared" si="5"/>
        <v>590</v>
      </c>
      <c r="J80" s="2">
        <v>33174</v>
      </c>
      <c r="K80">
        <f t="shared" si="6"/>
        <v>-20</v>
      </c>
      <c r="L80" s="11">
        <f t="shared" si="7"/>
        <v>1.7785012359076386E-2</v>
      </c>
      <c r="M80" t="str">
        <f>VLOOKUP(B80,Posts!B:O,14,FALSE)</f>
        <v>CybertruckLaunch</v>
      </c>
    </row>
    <row r="81" spans="1:13" ht="15.75" customHeight="1">
      <c r="A81" s="5">
        <v>45579</v>
      </c>
      <c r="B81" s="2" t="s">
        <v>23</v>
      </c>
      <c r="C81" s="2">
        <v>414</v>
      </c>
      <c r="D81" s="2">
        <v>47</v>
      </c>
      <c r="E81" s="2">
        <v>199178</v>
      </c>
      <c r="F81" s="19">
        <f t="shared" si="4"/>
        <v>0.18425729749269498</v>
      </c>
      <c r="G81" s="2">
        <v>1.53</v>
      </c>
      <c r="H81" s="5">
        <v>45579</v>
      </c>
      <c r="I81" s="2">
        <f t="shared" si="5"/>
        <v>153</v>
      </c>
      <c r="J81" s="2">
        <v>6742</v>
      </c>
      <c r="K81">
        <f t="shared" si="6"/>
        <v>367</v>
      </c>
      <c r="L81" s="11">
        <f t="shared" si="7"/>
        <v>2.26935627410264E-2</v>
      </c>
      <c r="M81" t="str">
        <f>VLOOKUP(B81,Posts!B:O,14,FALSE)</f>
        <v>FSDUpdate</v>
      </c>
    </row>
    <row r="82" spans="1:13" ht="15.75" customHeight="1">
      <c r="A82" s="5">
        <v>45586</v>
      </c>
      <c r="B82" s="2" t="s">
        <v>28</v>
      </c>
      <c r="C82" s="2">
        <v>703</v>
      </c>
      <c r="D82" s="2">
        <v>441</v>
      </c>
      <c r="E82" s="2">
        <v>357089</v>
      </c>
      <c r="F82" s="19">
        <f t="shared" si="4"/>
        <v>7.3371064356504964E-2</v>
      </c>
      <c r="G82" s="2">
        <v>6.5</v>
      </c>
      <c r="H82" s="5">
        <v>45586</v>
      </c>
      <c r="I82" s="2">
        <f t="shared" si="5"/>
        <v>650</v>
      </c>
      <c r="J82" s="2">
        <v>32478</v>
      </c>
      <c r="K82">
        <f t="shared" si="6"/>
        <v>262</v>
      </c>
      <c r="L82" s="11">
        <f t="shared" si="7"/>
        <v>2.0013547632243365E-2</v>
      </c>
      <c r="M82" t="str">
        <f>VLOOKUP(B82,Posts!B:O,14,FALSE)</f>
        <v>SustainabilityDrive</v>
      </c>
    </row>
    <row r="83" spans="1:13" ht="15.75" customHeight="1">
      <c r="A83" s="5">
        <v>45586</v>
      </c>
      <c r="B83" s="2" t="s">
        <v>36</v>
      </c>
      <c r="C83" s="2">
        <v>508</v>
      </c>
      <c r="D83" s="2">
        <v>69</v>
      </c>
      <c r="E83" s="2">
        <v>23492</v>
      </c>
      <c r="F83" s="19">
        <f t="shared" si="4"/>
        <v>1.8687212668142346</v>
      </c>
      <c r="G83" s="2">
        <v>3.16</v>
      </c>
      <c r="H83" s="5">
        <v>45586</v>
      </c>
      <c r="I83" s="2">
        <f t="shared" si="5"/>
        <v>316</v>
      </c>
      <c r="J83" s="2">
        <v>42824</v>
      </c>
      <c r="K83">
        <f t="shared" si="6"/>
        <v>439</v>
      </c>
      <c r="L83" s="11">
        <f t="shared" si="7"/>
        <v>7.3790397907715303E-3</v>
      </c>
      <c r="M83" t="str">
        <f>VLOOKUP(B83,Posts!B:O,14,FALSE)</f>
        <v>ModelYCampaign</v>
      </c>
    </row>
    <row r="84" spans="1:13" ht="15.75" customHeight="1">
      <c r="A84" s="5">
        <v>45586</v>
      </c>
      <c r="B84" s="2" t="s">
        <v>14</v>
      </c>
      <c r="C84" s="2">
        <v>697</v>
      </c>
      <c r="D84" s="2">
        <v>61</v>
      </c>
      <c r="E84" s="2">
        <v>258287</v>
      </c>
      <c r="F84" s="19">
        <f t="shared" si="4"/>
        <v>0.24623771231227276</v>
      </c>
      <c r="G84" s="2">
        <v>8.25</v>
      </c>
      <c r="H84" s="5">
        <v>45586</v>
      </c>
      <c r="I84" s="2">
        <f t="shared" si="5"/>
        <v>825</v>
      </c>
      <c r="J84" s="2">
        <v>21208</v>
      </c>
      <c r="K84">
        <f t="shared" si="6"/>
        <v>636</v>
      </c>
      <c r="L84" s="11">
        <f t="shared" si="7"/>
        <v>3.8900414937759337E-2</v>
      </c>
      <c r="M84" t="str">
        <f>VLOOKUP(B84,Posts!B:O,14,FALSE)</f>
        <v>CybertruckLaunch</v>
      </c>
    </row>
    <row r="85" spans="1:13" ht="15.75" customHeight="1">
      <c r="A85" s="5">
        <v>45586</v>
      </c>
      <c r="B85" s="2" t="s">
        <v>23</v>
      </c>
      <c r="C85" s="2">
        <v>1707</v>
      </c>
      <c r="D85" s="2">
        <v>223</v>
      </c>
      <c r="E85" s="2">
        <v>256910</v>
      </c>
      <c r="F85" s="19">
        <f t="shared" si="4"/>
        <v>0.57763419096181545</v>
      </c>
      <c r="G85" s="2">
        <v>5.41</v>
      </c>
      <c r="H85" s="5">
        <v>45586</v>
      </c>
      <c r="I85" s="2">
        <f t="shared" si="5"/>
        <v>541</v>
      </c>
      <c r="J85" s="2">
        <v>44321</v>
      </c>
      <c r="K85">
        <f t="shared" si="6"/>
        <v>1484</v>
      </c>
      <c r="L85" s="11">
        <f t="shared" si="7"/>
        <v>1.2206403285124434E-2</v>
      </c>
      <c r="M85" t="str">
        <f>VLOOKUP(B85,Posts!B:O,14,FALSE)</f>
        <v>FSDUpdate</v>
      </c>
    </row>
    <row r="86" spans="1:13" ht="15.75" customHeight="1">
      <c r="A86" s="5">
        <v>45593</v>
      </c>
      <c r="B86" s="2" t="s">
        <v>28</v>
      </c>
      <c r="C86" s="2">
        <v>642</v>
      </c>
      <c r="D86" s="2">
        <v>66</v>
      </c>
      <c r="E86" s="2">
        <v>346522</v>
      </c>
      <c r="F86" s="19">
        <f t="shared" si="4"/>
        <v>0.166223212379012</v>
      </c>
      <c r="G86" s="2">
        <v>5.85</v>
      </c>
      <c r="H86" s="5">
        <v>45593</v>
      </c>
      <c r="I86" s="2">
        <f t="shared" si="5"/>
        <v>585</v>
      </c>
      <c r="J86" s="2">
        <v>13116</v>
      </c>
      <c r="K86">
        <f t="shared" si="6"/>
        <v>576</v>
      </c>
      <c r="L86" s="11">
        <f t="shared" si="7"/>
        <v>4.4602012808783162E-2</v>
      </c>
      <c r="M86" t="str">
        <f>VLOOKUP(B86,Posts!B:O,14,FALSE)</f>
        <v>SustainabilityDrive</v>
      </c>
    </row>
    <row r="87" spans="1:13" ht="15.75" customHeight="1">
      <c r="A87" s="5">
        <v>45593</v>
      </c>
      <c r="B87" s="2" t="s">
        <v>36</v>
      </c>
      <c r="C87" s="2">
        <v>859</v>
      </c>
      <c r="D87" s="2">
        <v>473</v>
      </c>
      <c r="E87" s="2">
        <v>209987</v>
      </c>
      <c r="F87" s="19">
        <f t="shared" si="4"/>
        <v>0.18382090319876945</v>
      </c>
      <c r="G87" s="2">
        <v>4.46</v>
      </c>
      <c r="H87" s="5">
        <v>45593</v>
      </c>
      <c r="I87" s="2">
        <f t="shared" si="5"/>
        <v>446</v>
      </c>
      <c r="J87" s="2">
        <v>30214</v>
      </c>
      <c r="K87">
        <f t="shared" si="6"/>
        <v>386</v>
      </c>
      <c r="L87" s="11">
        <f t="shared" si="7"/>
        <v>1.4761368901833587E-2</v>
      </c>
      <c r="M87" t="str">
        <f>VLOOKUP(B87,Posts!B:O,14,FALSE)</f>
        <v>ModelYCampaign</v>
      </c>
    </row>
    <row r="88" spans="1:13" ht="15.75" customHeight="1">
      <c r="A88" s="5">
        <v>45593</v>
      </c>
      <c r="B88" s="2" t="s">
        <v>14</v>
      </c>
      <c r="C88" s="2">
        <v>191</v>
      </c>
      <c r="D88" s="2">
        <v>154</v>
      </c>
      <c r="E88" s="2">
        <v>240550</v>
      </c>
      <c r="F88" s="19">
        <f t="shared" si="4"/>
        <v>1.5381417584701726E-2</v>
      </c>
      <c r="G88" s="2">
        <v>5.22</v>
      </c>
      <c r="H88" s="5">
        <v>45593</v>
      </c>
      <c r="I88" s="2">
        <f t="shared" si="5"/>
        <v>522</v>
      </c>
      <c r="J88" s="2">
        <v>15827</v>
      </c>
      <c r="K88">
        <f t="shared" si="6"/>
        <v>37</v>
      </c>
      <c r="L88" s="11">
        <f t="shared" si="7"/>
        <v>3.2981613698110826E-2</v>
      </c>
      <c r="M88" t="str">
        <f>VLOOKUP(B88,Posts!B:O,14,FALSE)</f>
        <v>CybertruckLaunch</v>
      </c>
    </row>
    <row r="89" spans="1:13" ht="15.75" customHeight="1">
      <c r="A89" s="5">
        <v>45593</v>
      </c>
      <c r="B89" s="2" t="s">
        <v>23</v>
      </c>
      <c r="C89" s="2">
        <v>1814</v>
      </c>
      <c r="D89" s="2">
        <v>157</v>
      </c>
      <c r="E89" s="2">
        <v>305827</v>
      </c>
      <c r="F89" s="19">
        <f t="shared" si="4"/>
        <v>0.54180958515762179</v>
      </c>
      <c r="G89" s="2">
        <v>1.99</v>
      </c>
      <c r="H89" s="5">
        <v>45593</v>
      </c>
      <c r="I89" s="2">
        <f t="shared" si="5"/>
        <v>199</v>
      </c>
      <c r="J89" s="2">
        <v>46643</v>
      </c>
      <c r="K89">
        <f t="shared" si="6"/>
        <v>1657</v>
      </c>
      <c r="L89" s="11">
        <f t="shared" si="7"/>
        <v>4.2664494136311982E-3</v>
      </c>
      <c r="M89" t="str">
        <f>VLOOKUP(B89,Posts!B:O,14,FALSE)</f>
        <v>FSDUpdate</v>
      </c>
    </row>
    <row r="90" spans="1:13" ht="15.75" customHeight="1">
      <c r="A90" s="5">
        <v>45600</v>
      </c>
      <c r="B90" s="2" t="s">
        <v>28</v>
      </c>
      <c r="C90" s="2">
        <v>1466</v>
      </c>
      <c r="D90" s="2">
        <v>69</v>
      </c>
      <c r="E90" s="2">
        <v>54935</v>
      </c>
      <c r="F90" s="19">
        <f t="shared" si="4"/>
        <v>2.5430053699827071</v>
      </c>
      <c r="G90" s="2">
        <v>6.85</v>
      </c>
      <c r="H90" s="5">
        <v>45600</v>
      </c>
      <c r="I90" s="2">
        <f t="shared" si="5"/>
        <v>685</v>
      </c>
      <c r="J90" s="2">
        <v>36484</v>
      </c>
      <c r="K90">
        <f t="shared" si="6"/>
        <v>1397</v>
      </c>
      <c r="L90" s="11">
        <f t="shared" si="7"/>
        <v>1.8775353579651353E-2</v>
      </c>
      <c r="M90" t="str">
        <f>VLOOKUP(B90,Posts!B:O,14,FALSE)</f>
        <v>SustainabilityDrive</v>
      </c>
    </row>
    <row r="91" spans="1:13" ht="15.75" customHeight="1">
      <c r="A91" s="5">
        <v>45600</v>
      </c>
      <c r="B91" s="2" t="s">
        <v>36</v>
      </c>
      <c r="C91" s="2">
        <v>947</v>
      </c>
      <c r="D91" s="2">
        <v>407</v>
      </c>
      <c r="E91" s="2">
        <v>319186</v>
      </c>
      <c r="F91" s="19">
        <f t="shared" si="4"/>
        <v>0.16918035252172714</v>
      </c>
      <c r="G91" s="2">
        <v>3.32</v>
      </c>
      <c r="H91" s="5">
        <v>45600</v>
      </c>
      <c r="I91" s="2">
        <f t="shared" si="5"/>
        <v>332</v>
      </c>
      <c r="J91" s="2">
        <v>4996</v>
      </c>
      <c r="K91">
        <f t="shared" si="6"/>
        <v>540</v>
      </c>
      <c r="L91" s="11">
        <f t="shared" si="7"/>
        <v>6.6453162530024021E-2</v>
      </c>
      <c r="M91" t="str">
        <f>VLOOKUP(B91,Posts!B:O,14,FALSE)</f>
        <v>ModelYCampaign</v>
      </c>
    </row>
    <row r="92" spans="1:13" ht="15.75" customHeight="1">
      <c r="A92" s="5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19">
        <f t="shared" si="4"/>
        <v>0.36508153411678962</v>
      </c>
      <c r="G92" s="2">
        <v>5.68</v>
      </c>
      <c r="H92" s="5">
        <v>45600</v>
      </c>
      <c r="I92" s="2">
        <f t="shared" si="5"/>
        <v>568</v>
      </c>
      <c r="J92" s="2">
        <v>36095</v>
      </c>
      <c r="K92">
        <f t="shared" si="6"/>
        <v>1603</v>
      </c>
      <c r="L92" s="11">
        <f t="shared" si="7"/>
        <v>1.5736251558387589E-2</v>
      </c>
      <c r="M92" t="str">
        <f>VLOOKUP(B92,Posts!B:O,14,FALSE)</f>
        <v>CybertruckLaunch</v>
      </c>
    </row>
    <row r="93" spans="1:13" ht="15.75" customHeight="1">
      <c r="A93" s="5">
        <v>45600</v>
      </c>
      <c r="B93" s="2" t="s">
        <v>23</v>
      </c>
      <c r="C93" s="2">
        <v>1507</v>
      </c>
      <c r="D93" s="2">
        <v>463</v>
      </c>
      <c r="E93" s="2">
        <v>258944</v>
      </c>
      <c r="F93" s="19">
        <f t="shared" si="4"/>
        <v>0.40317597627286211</v>
      </c>
      <c r="G93" s="2">
        <v>6.08</v>
      </c>
      <c r="H93" s="5">
        <v>45600</v>
      </c>
      <c r="I93" s="2">
        <f t="shared" si="5"/>
        <v>608</v>
      </c>
      <c r="J93" s="2">
        <v>16443</v>
      </c>
      <c r="K93">
        <f t="shared" si="6"/>
        <v>1044</v>
      </c>
      <c r="L93" s="11">
        <f t="shared" si="7"/>
        <v>3.6976220884266865E-2</v>
      </c>
      <c r="M93" t="str">
        <f>VLOOKUP(B93,Posts!B:O,14,FALSE)</f>
        <v>FSDUpdate</v>
      </c>
    </row>
    <row r="94" spans="1:13" ht="15.75" customHeight="1">
      <c r="A94" s="5">
        <v>45607</v>
      </c>
      <c r="B94" s="2" t="s">
        <v>28</v>
      </c>
      <c r="C94" s="2">
        <v>1075</v>
      </c>
      <c r="D94" s="2">
        <v>173</v>
      </c>
      <c r="E94" s="2">
        <v>51395</v>
      </c>
      <c r="F94" s="19">
        <f t="shared" si="4"/>
        <v>1.7550345364335054</v>
      </c>
      <c r="G94" s="2">
        <v>4.66</v>
      </c>
      <c r="H94" s="5">
        <v>45607</v>
      </c>
      <c r="I94" s="2">
        <f t="shared" si="5"/>
        <v>466</v>
      </c>
      <c r="J94" s="2">
        <v>47812</v>
      </c>
      <c r="K94">
        <f t="shared" si="6"/>
        <v>902</v>
      </c>
      <c r="L94" s="11">
        <f t="shared" si="7"/>
        <v>9.7465071530159798E-3</v>
      </c>
      <c r="M94" t="str">
        <f>VLOOKUP(B94,Posts!B:O,14,FALSE)</f>
        <v>SustainabilityDrive</v>
      </c>
    </row>
    <row r="95" spans="1:13" ht="15.75" customHeight="1">
      <c r="A95" s="5">
        <v>45607</v>
      </c>
      <c r="B95" s="2" t="s">
        <v>36</v>
      </c>
      <c r="C95" s="2">
        <v>171</v>
      </c>
      <c r="D95" s="2">
        <v>277</v>
      </c>
      <c r="E95" s="2">
        <v>309483</v>
      </c>
      <c r="F95" s="19">
        <f t="shared" si="4"/>
        <v>-3.4250669665215859E-2</v>
      </c>
      <c r="G95" s="2">
        <v>8.6999999999999993</v>
      </c>
      <c r="H95" s="5">
        <v>45607</v>
      </c>
      <c r="I95" s="2">
        <f t="shared" si="5"/>
        <v>869.99999999999989</v>
      </c>
      <c r="J95" s="2">
        <v>38452</v>
      </c>
      <c r="K95">
        <f t="shared" si="6"/>
        <v>-106</v>
      </c>
      <c r="L95" s="11">
        <f t="shared" si="7"/>
        <v>2.2625611151565583E-2</v>
      </c>
      <c r="M95" t="str">
        <f>VLOOKUP(B95,Posts!B:O,14,FALSE)</f>
        <v>ModelYCampaign</v>
      </c>
    </row>
    <row r="96" spans="1:13" ht="15.75" customHeight="1">
      <c r="A96" s="5">
        <v>45607</v>
      </c>
      <c r="B96" s="2" t="s">
        <v>14</v>
      </c>
      <c r="C96" s="2">
        <v>1487</v>
      </c>
      <c r="D96" s="2">
        <v>337</v>
      </c>
      <c r="E96" s="2">
        <v>87305</v>
      </c>
      <c r="F96" s="19">
        <f t="shared" si="4"/>
        <v>1.3172212358971422</v>
      </c>
      <c r="G96" s="2">
        <v>2.46</v>
      </c>
      <c r="H96" s="5">
        <v>45607</v>
      </c>
      <c r="I96" s="2">
        <f t="shared" si="5"/>
        <v>246</v>
      </c>
      <c r="J96" s="2">
        <v>30428</v>
      </c>
      <c r="K96">
        <f t="shared" si="6"/>
        <v>1150</v>
      </c>
      <c r="L96" s="11">
        <f t="shared" si="7"/>
        <v>8.0846588668331797E-3</v>
      </c>
      <c r="M96" t="str">
        <f>VLOOKUP(B96,Posts!B:O,14,FALSE)</f>
        <v>CybertruckLaunch</v>
      </c>
    </row>
    <row r="97" spans="1:13" ht="15.75" customHeight="1">
      <c r="A97" s="5">
        <v>45607</v>
      </c>
      <c r="B97" s="2" t="s">
        <v>23</v>
      </c>
      <c r="C97" s="2">
        <v>454</v>
      </c>
      <c r="D97" s="2">
        <v>105</v>
      </c>
      <c r="E97" s="2">
        <v>121091</v>
      </c>
      <c r="F97" s="19">
        <f t="shared" si="4"/>
        <v>0.28821299683708945</v>
      </c>
      <c r="G97" s="2">
        <v>7.97</v>
      </c>
      <c r="H97" s="5">
        <v>45607</v>
      </c>
      <c r="I97" s="2">
        <f t="shared" si="5"/>
        <v>797</v>
      </c>
      <c r="J97" s="2">
        <v>9269</v>
      </c>
      <c r="K97">
        <f t="shared" si="6"/>
        <v>349</v>
      </c>
      <c r="L97" s="11">
        <f t="shared" si="7"/>
        <v>8.598554320854461E-2</v>
      </c>
      <c r="M97" t="str">
        <f>VLOOKUP(B97,Posts!B:O,14,FALSE)</f>
        <v>FSDUpdate</v>
      </c>
    </row>
    <row r="98" spans="1:13" ht="15.75" customHeight="1">
      <c r="A98" s="5">
        <v>45614</v>
      </c>
      <c r="B98" s="2" t="s">
        <v>28</v>
      </c>
      <c r="C98" s="2">
        <v>187</v>
      </c>
      <c r="D98" s="2">
        <v>236</v>
      </c>
      <c r="E98" s="2">
        <v>51087</v>
      </c>
      <c r="F98" s="19">
        <f t="shared" si="4"/>
        <v>-9.5914811987394058E-2</v>
      </c>
      <c r="G98" s="2">
        <v>9.41</v>
      </c>
      <c r="H98" s="5">
        <v>45614</v>
      </c>
      <c r="I98" s="2">
        <f t="shared" si="5"/>
        <v>941</v>
      </c>
      <c r="J98" s="2">
        <v>29533</v>
      </c>
      <c r="K98">
        <f t="shared" si="6"/>
        <v>-49</v>
      </c>
      <c r="L98" s="11">
        <f t="shared" si="7"/>
        <v>3.1862662106795787E-2</v>
      </c>
      <c r="M98" t="str">
        <f>VLOOKUP(B98,Posts!B:O,14,FALSE)</f>
        <v>SustainabilityDrive</v>
      </c>
    </row>
    <row r="99" spans="1:13" ht="15.75" customHeight="1">
      <c r="A99" s="5">
        <v>45614</v>
      </c>
      <c r="B99" s="2" t="s">
        <v>36</v>
      </c>
      <c r="C99" s="2">
        <v>513</v>
      </c>
      <c r="D99" s="2">
        <v>441</v>
      </c>
      <c r="E99" s="2">
        <v>338847</v>
      </c>
      <c r="F99" s="19">
        <f t="shared" si="4"/>
        <v>2.124852809675163E-2</v>
      </c>
      <c r="G99" s="2">
        <v>2.68</v>
      </c>
      <c r="H99" s="5">
        <v>45614</v>
      </c>
      <c r="I99" s="2">
        <f t="shared" si="5"/>
        <v>268</v>
      </c>
      <c r="J99" s="2">
        <v>39997</v>
      </c>
      <c r="K99">
        <f t="shared" si="6"/>
        <v>72</v>
      </c>
      <c r="L99" s="11">
        <f t="shared" si="7"/>
        <v>6.7005025376903268E-3</v>
      </c>
      <c r="M99" t="str">
        <f>VLOOKUP(B99,Posts!B:O,14,FALSE)</f>
        <v>ModelYCampaign</v>
      </c>
    </row>
    <row r="100" spans="1:13" ht="15.75" customHeight="1">
      <c r="A100" s="5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19">
        <f t="shared" si="4"/>
        <v>9.1277744844858608E-2</v>
      </c>
      <c r="G100" s="2">
        <v>7.32</v>
      </c>
      <c r="H100" s="5">
        <v>45614</v>
      </c>
      <c r="I100" s="2">
        <f t="shared" si="5"/>
        <v>732</v>
      </c>
      <c r="J100" s="2">
        <v>5391</v>
      </c>
      <c r="K100">
        <f t="shared" si="6"/>
        <v>445</v>
      </c>
      <c r="L100" s="11">
        <f t="shared" si="7"/>
        <v>0.13578185865331108</v>
      </c>
      <c r="M100" t="str">
        <f>VLOOKUP(B100,Posts!B:O,14,FALSE)</f>
        <v>CybertruckLaunch</v>
      </c>
    </row>
    <row r="101" spans="1:13" ht="15.75" customHeight="1">
      <c r="A101" s="5">
        <v>45614</v>
      </c>
      <c r="B101" s="2" t="s">
        <v>23</v>
      </c>
      <c r="C101" s="2">
        <v>278</v>
      </c>
      <c r="D101" s="2">
        <v>218</v>
      </c>
      <c r="E101" s="2">
        <v>301695</v>
      </c>
      <c r="F101" s="19">
        <f t="shared" si="4"/>
        <v>1.9887634863023914E-2</v>
      </c>
      <c r="G101" s="2">
        <v>4.68</v>
      </c>
      <c r="H101" s="5">
        <v>45614</v>
      </c>
      <c r="I101" s="2">
        <f t="shared" si="5"/>
        <v>468</v>
      </c>
      <c r="J101" s="2">
        <v>22373</v>
      </c>
      <c r="K101">
        <f t="shared" si="6"/>
        <v>60</v>
      </c>
      <c r="L101" s="11">
        <f t="shared" si="7"/>
        <v>2.0918070889018012E-2</v>
      </c>
      <c r="M101" t="str">
        <f>VLOOKUP(B101,Posts!B:O,14,FALSE)</f>
        <v>FSDUpdate</v>
      </c>
    </row>
    <row r="102" spans="1:13" ht="15.75" customHeight="1">
      <c r="A102" s="5">
        <v>45621</v>
      </c>
      <c r="B102" s="2" t="s">
        <v>28</v>
      </c>
      <c r="C102" s="2">
        <v>1854</v>
      </c>
      <c r="D102" s="2">
        <v>161</v>
      </c>
      <c r="E102" s="2">
        <v>282466</v>
      </c>
      <c r="F102" s="19">
        <f t="shared" si="4"/>
        <v>0.59936417126309005</v>
      </c>
      <c r="G102" s="2">
        <v>5.17</v>
      </c>
      <c r="H102" s="5">
        <v>45621</v>
      </c>
      <c r="I102" s="2">
        <f t="shared" si="5"/>
        <v>517</v>
      </c>
      <c r="J102" s="2">
        <v>1810</v>
      </c>
      <c r="K102">
        <f t="shared" si="6"/>
        <v>1693</v>
      </c>
      <c r="L102" s="11">
        <f t="shared" si="7"/>
        <v>0.28563535911602211</v>
      </c>
      <c r="M102" t="str">
        <f>VLOOKUP(B102,Posts!B:O,14,FALSE)</f>
        <v>SustainabilityDrive</v>
      </c>
    </row>
    <row r="103" spans="1:13" ht="15.75" customHeight="1">
      <c r="A103" s="5">
        <v>45621</v>
      </c>
      <c r="B103" s="2" t="s">
        <v>36</v>
      </c>
      <c r="C103" s="2">
        <v>1710</v>
      </c>
      <c r="D103" s="2">
        <v>378</v>
      </c>
      <c r="E103" s="2">
        <v>336661</v>
      </c>
      <c r="F103" s="19">
        <f t="shared" si="4"/>
        <v>0.39565022381564841</v>
      </c>
      <c r="G103" s="2">
        <v>6.2</v>
      </c>
      <c r="H103" s="5">
        <v>45621</v>
      </c>
      <c r="I103" s="2">
        <f t="shared" si="5"/>
        <v>620</v>
      </c>
      <c r="J103" s="2">
        <v>28498</v>
      </c>
      <c r="K103">
        <f t="shared" si="6"/>
        <v>1332</v>
      </c>
      <c r="L103" s="11">
        <f t="shared" si="7"/>
        <v>2.1755912695627763E-2</v>
      </c>
      <c r="M103" t="str">
        <f>VLOOKUP(B103,Posts!B:O,14,FALSE)</f>
        <v>ModelYCampaign</v>
      </c>
    </row>
    <row r="104" spans="1:13" ht="15.75" customHeight="1">
      <c r="A104" s="5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19">
        <f t="shared" si="4"/>
        <v>0.11079079758069074</v>
      </c>
      <c r="G104" s="2">
        <v>2.69</v>
      </c>
      <c r="H104" s="5">
        <v>45621</v>
      </c>
      <c r="I104" s="2">
        <f t="shared" si="5"/>
        <v>269</v>
      </c>
      <c r="J104" s="2">
        <v>39530</v>
      </c>
      <c r="K104">
        <f t="shared" si="6"/>
        <v>98</v>
      </c>
      <c r="L104" s="11">
        <f t="shared" si="7"/>
        <v>6.8049582595497088E-3</v>
      </c>
      <c r="M104" t="str">
        <f>VLOOKUP(B104,Posts!B:O,14,FALSE)</f>
        <v>CybertruckLaunch</v>
      </c>
    </row>
    <row r="105" spans="1:13" ht="15.75" customHeight="1">
      <c r="A105" s="5">
        <v>45621</v>
      </c>
      <c r="B105" s="2" t="s">
        <v>23</v>
      </c>
      <c r="C105" s="2">
        <v>1293</v>
      </c>
      <c r="D105" s="2">
        <v>408</v>
      </c>
      <c r="E105" s="2">
        <v>62535</v>
      </c>
      <c r="F105" s="19">
        <f t="shared" si="4"/>
        <v>1.4152074838090669</v>
      </c>
      <c r="G105" s="2">
        <v>8.9</v>
      </c>
      <c r="H105" s="5">
        <v>45621</v>
      </c>
      <c r="I105" s="2">
        <f t="shared" si="5"/>
        <v>890</v>
      </c>
      <c r="J105" s="2">
        <v>37876</v>
      </c>
      <c r="K105">
        <f t="shared" si="6"/>
        <v>885</v>
      </c>
      <c r="L105" s="11">
        <f t="shared" si="7"/>
        <v>2.349772943288626E-2</v>
      </c>
      <c r="M105" t="str">
        <f>VLOOKUP(B105,Posts!B:O,14,FALSE)</f>
        <v>FSDUpdate</v>
      </c>
    </row>
    <row r="106" spans="1:13" ht="15.75" customHeight="1">
      <c r="A106" s="5">
        <v>45628</v>
      </c>
      <c r="B106" s="2" t="s">
        <v>28</v>
      </c>
      <c r="C106" s="2">
        <v>1696</v>
      </c>
      <c r="D106" s="2">
        <v>71</v>
      </c>
      <c r="E106" s="2">
        <v>421957</v>
      </c>
      <c r="F106" s="19">
        <f t="shared" si="4"/>
        <v>0.38511033114748661</v>
      </c>
      <c r="G106" s="2">
        <v>3.79</v>
      </c>
      <c r="H106" s="5">
        <v>45628</v>
      </c>
      <c r="I106" s="2">
        <f t="shared" si="5"/>
        <v>379</v>
      </c>
      <c r="J106" s="2">
        <v>36103</v>
      </c>
      <c r="K106">
        <f t="shared" si="6"/>
        <v>1625</v>
      </c>
      <c r="L106" s="11">
        <f t="shared" si="7"/>
        <v>1.0497742569869541E-2</v>
      </c>
      <c r="M106" t="str">
        <f>VLOOKUP(B106,Posts!B:O,14,FALSE)</f>
        <v>SustainabilityDrive</v>
      </c>
    </row>
    <row r="107" spans="1:13" ht="15.75" customHeight="1">
      <c r="A107" s="5">
        <v>45628</v>
      </c>
      <c r="B107" s="2" t="s">
        <v>36</v>
      </c>
      <c r="C107" s="2">
        <v>1902</v>
      </c>
      <c r="D107" s="2">
        <v>196</v>
      </c>
      <c r="E107" s="2">
        <v>470269</v>
      </c>
      <c r="F107" s="19">
        <f t="shared" si="4"/>
        <v>0.36277109484146308</v>
      </c>
      <c r="G107" s="2">
        <v>4.79</v>
      </c>
      <c r="H107" s="5">
        <v>45628</v>
      </c>
      <c r="I107" s="2">
        <f t="shared" si="5"/>
        <v>479</v>
      </c>
      <c r="J107" s="2">
        <v>26103</v>
      </c>
      <c r="K107">
        <f t="shared" si="6"/>
        <v>1706</v>
      </c>
      <c r="L107" s="11">
        <f t="shared" si="7"/>
        <v>1.8350381182239587E-2</v>
      </c>
      <c r="M107" t="str">
        <f>VLOOKUP(B107,Posts!B:O,14,FALSE)</f>
        <v>ModelYCampaign</v>
      </c>
    </row>
    <row r="108" spans="1:13" ht="15.75" customHeight="1">
      <c r="A108" s="5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19">
        <f t="shared" si="4"/>
        <v>0.37850431101244258</v>
      </c>
      <c r="G108" s="2">
        <v>6.37</v>
      </c>
      <c r="H108" s="5">
        <v>45628</v>
      </c>
      <c r="I108" s="2">
        <f t="shared" si="5"/>
        <v>637</v>
      </c>
      <c r="J108" s="2">
        <v>3455</v>
      </c>
      <c r="K108">
        <f t="shared" si="6"/>
        <v>1173</v>
      </c>
      <c r="L108" s="11">
        <f t="shared" si="7"/>
        <v>0.18437047756874095</v>
      </c>
      <c r="M108" t="str">
        <f>VLOOKUP(B108,Posts!B:O,14,FALSE)</f>
        <v>CybertruckLaunch</v>
      </c>
    </row>
    <row r="109" spans="1:13" ht="15.75" customHeight="1">
      <c r="A109" s="5">
        <v>45628</v>
      </c>
      <c r="B109" s="2" t="s">
        <v>23</v>
      </c>
      <c r="C109" s="2">
        <v>452</v>
      </c>
      <c r="D109" s="2">
        <v>161</v>
      </c>
      <c r="E109" s="2">
        <v>221274</v>
      </c>
      <c r="F109" s="19">
        <f t="shared" si="4"/>
        <v>0.13151115811166245</v>
      </c>
      <c r="G109" s="2">
        <v>2.65</v>
      </c>
      <c r="H109" s="5">
        <v>45628</v>
      </c>
      <c r="I109" s="2">
        <f t="shared" si="5"/>
        <v>265</v>
      </c>
      <c r="J109" s="2">
        <v>40888</v>
      </c>
      <c r="K109">
        <f t="shared" si="6"/>
        <v>291</v>
      </c>
      <c r="L109" s="11">
        <f t="shared" si="7"/>
        <v>6.4811191547642349E-3</v>
      </c>
      <c r="M109" t="str">
        <f>VLOOKUP(B109,Posts!B:O,14,FALSE)</f>
        <v>FSDUpdate</v>
      </c>
    </row>
    <row r="110" spans="1:13" ht="15.75" customHeight="1">
      <c r="A110" s="5">
        <v>45635</v>
      </c>
      <c r="B110" s="2" t="s">
        <v>28</v>
      </c>
      <c r="C110" s="2">
        <v>1494</v>
      </c>
      <c r="D110" s="2">
        <v>375</v>
      </c>
      <c r="E110" s="2">
        <v>220616</v>
      </c>
      <c r="F110" s="19">
        <f t="shared" si="4"/>
        <v>0.5072161583928636</v>
      </c>
      <c r="G110" s="2">
        <v>1.81</v>
      </c>
      <c r="H110" s="5">
        <v>45635</v>
      </c>
      <c r="I110" s="2">
        <f t="shared" si="5"/>
        <v>181</v>
      </c>
      <c r="J110" s="2">
        <v>22724</v>
      </c>
      <c r="K110">
        <f t="shared" si="6"/>
        <v>1119</v>
      </c>
      <c r="L110" s="11">
        <f t="shared" si="7"/>
        <v>7.9651469811652872E-3</v>
      </c>
      <c r="M110" t="str">
        <f>VLOOKUP(B110,Posts!B:O,14,FALSE)</f>
        <v>SustainabilityDrive</v>
      </c>
    </row>
    <row r="111" spans="1:13" ht="15.75" customHeight="1">
      <c r="A111" s="5">
        <v>45635</v>
      </c>
      <c r="B111" s="2" t="s">
        <v>36</v>
      </c>
      <c r="C111" s="2">
        <v>1514</v>
      </c>
      <c r="D111" s="2">
        <v>141</v>
      </c>
      <c r="E111" s="2">
        <v>35842</v>
      </c>
      <c r="F111" s="19">
        <f t="shared" si="4"/>
        <v>3.8307014117515763</v>
      </c>
      <c r="G111" s="2">
        <v>7.47</v>
      </c>
      <c r="H111" s="5">
        <v>45635</v>
      </c>
      <c r="I111" s="2">
        <f t="shared" si="5"/>
        <v>747</v>
      </c>
      <c r="J111" s="2">
        <v>18601</v>
      </c>
      <c r="K111">
        <f t="shared" si="6"/>
        <v>1373</v>
      </c>
      <c r="L111" s="11">
        <f t="shared" si="7"/>
        <v>4.0159131229503792E-2</v>
      </c>
      <c r="M111" t="str">
        <f>VLOOKUP(B111,Posts!B:O,14,FALSE)</f>
        <v>ModelYCampaign</v>
      </c>
    </row>
    <row r="112" spans="1:13" ht="15.75" customHeight="1">
      <c r="A112" s="5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19">
        <f t="shared" si="4"/>
        <v>8.3806473528412688</v>
      </c>
      <c r="G112" s="2">
        <v>4.2</v>
      </c>
      <c r="H112" s="5">
        <v>45635</v>
      </c>
      <c r="I112" s="2">
        <f t="shared" si="5"/>
        <v>420</v>
      </c>
      <c r="J112" s="2">
        <v>20861</v>
      </c>
      <c r="K112">
        <f t="shared" si="6"/>
        <v>1727</v>
      </c>
      <c r="L112" s="11">
        <f t="shared" si="7"/>
        <v>2.0133263026700543E-2</v>
      </c>
      <c r="M112" t="str">
        <f>VLOOKUP(B112,Posts!B:O,14,FALSE)</f>
        <v>CybertruckLaunch</v>
      </c>
    </row>
    <row r="113" spans="1:13" ht="15.75" customHeight="1">
      <c r="A113" s="5">
        <v>45635</v>
      </c>
      <c r="B113" s="2" t="s">
        <v>23</v>
      </c>
      <c r="C113" s="2">
        <v>736</v>
      </c>
      <c r="D113" s="2">
        <v>163</v>
      </c>
      <c r="E113" s="2">
        <v>451894</v>
      </c>
      <c r="F113" s="19">
        <f t="shared" si="4"/>
        <v>0.12679964770499277</v>
      </c>
      <c r="G113" s="2">
        <v>5.43</v>
      </c>
      <c r="H113" s="5">
        <v>45635</v>
      </c>
      <c r="I113" s="2">
        <f t="shared" si="5"/>
        <v>543</v>
      </c>
      <c r="J113" s="2">
        <v>46625</v>
      </c>
      <c r="K113">
        <f t="shared" si="6"/>
        <v>573</v>
      </c>
      <c r="L113" s="11">
        <f t="shared" si="7"/>
        <v>1.1646112600536192E-2</v>
      </c>
      <c r="M113" t="str">
        <f>VLOOKUP(B113,Posts!B:O,14,FALSE)</f>
        <v>FSDUpdate</v>
      </c>
    </row>
    <row r="114" spans="1:13" ht="15.75" customHeight="1">
      <c r="A114" s="5">
        <v>45642</v>
      </c>
      <c r="B114" s="2" t="s">
        <v>28</v>
      </c>
      <c r="C114" s="2">
        <v>1502</v>
      </c>
      <c r="D114" s="2">
        <v>70</v>
      </c>
      <c r="E114" s="2">
        <v>465553</v>
      </c>
      <c r="F114" s="19">
        <f t="shared" si="4"/>
        <v>0.30759118725472717</v>
      </c>
      <c r="G114" s="2">
        <v>3.32</v>
      </c>
      <c r="H114" s="5">
        <v>45642</v>
      </c>
      <c r="I114" s="2">
        <f t="shared" si="5"/>
        <v>332</v>
      </c>
      <c r="J114" s="2">
        <v>20692</v>
      </c>
      <c r="K114">
        <f t="shared" si="6"/>
        <v>1432</v>
      </c>
      <c r="L114" s="11">
        <f t="shared" si="7"/>
        <v>1.6044848250531606E-2</v>
      </c>
      <c r="M114" t="str">
        <f>VLOOKUP(B114,Posts!B:O,14,FALSE)</f>
        <v>SustainabilityDrive</v>
      </c>
    </row>
    <row r="115" spans="1:13" ht="15.75" customHeight="1">
      <c r="A115" s="5">
        <v>45642</v>
      </c>
      <c r="B115" s="2" t="s">
        <v>36</v>
      </c>
      <c r="C115" s="2">
        <v>1623</v>
      </c>
      <c r="D115" s="2">
        <v>246</v>
      </c>
      <c r="E115" s="2">
        <v>415815</v>
      </c>
      <c r="F115" s="19">
        <f t="shared" si="4"/>
        <v>0.33115688467227011</v>
      </c>
      <c r="G115" s="2">
        <v>8.11</v>
      </c>
      <c r="H115" s="5">
        <v>45642</v>
      </c>
      <c r="I115" s="2">
        <f t="shared" si="5"/>
        <v>811</v>
      </c>
      <c r="J115" s="2">
        <v>18656</v>
      </c>
      <c r="K115">
        <f t="shared" si="6"/>
        <v>1377</v>
      </c>
      <c r="L115" s="11">
        <f t="shared" si="7"/>
        <v>4.3471269296740993E-2</v>
      </c>
      <c r="M115" t="str">
        <f>VLOOKUP(B115,Posts!B:O,14,FALSE)</f>
        <v>ModelYCampaign</v>
      </c>
    </row>
    <row r="116" spans="1:13" ht="15.75" customHeight="1">
      <c r="A116" s="5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19">
        <f t="shared" si="4"/>
        <v>0.41536387893013998</v>
      </c>
      <c r="G116" s="2">
        <v>6.66</v>
      </c>
      <c r="H116" s="5">
        <v>45642</v>
      </c>
      <c r="I116" s="2">
        <f t="shared" si="5"/>
        <v>666</v>
      </c>
      <c r="J116" s="2">
        <v>13316</v>
      </c>
      <c r="K116">
        <f t="shared" si="6"/>
        <v>1359</v>
      </c>
      <c r="L116" s="11">
        <f t="shared" si="7"/>
        <v>5.0015019525383002E-2</v>
      </c>
      <c r="M116" t="str">
        <f>VLOOKUP(B116,Posts!B:O,14,FALSE)</f>
        <v>CybertruckLaunch</v>
      </c>
    </row>
    <row r="117" spans="1:13" ht="15.75" customHeight="1">
      <c r="A117" s="5">
        <v>45642</v>
      </c>
      <c r="B117" s="2" t="s">
        <v>23</v>
      </c>
      <c r="C117" s="2">
        <v>1004</v>
      </c>
      <c r="D117" s="2">
        <v>128</v>
      </c>
      <c r="E117" s="2">
        <v>488901</v>
      </c>
      <c r="F117" s="19">
        <f t="shared" si="4"/>
        <v>0.17917737946946316</v>
      </c>
      <c r="G117" s="2">
        <v>8.09</v>
      </c>
      <c r="H117" s="5">
        <v>45642</v>
      </c>
      <c r="I117" s="2">
        <f t="shared" si="5"/>
        <v>809</v>
      </c>
      <c r="J117" s="2">
        <v>49558</v>
      </c>
      <c r="K117">
        <f t="shared" si="6"/>
        <v>876</v>
      </c>
      <c r="L117" s="11">
        <f t="shared" si="7"/>
        <v>1.6324306872755153E-2</v>
      </c>
      <c r="M117" t="str">
        <f>VLOOKUP(B117,Posts!B:O,14,FALSE)</f>
        <v>FSDUpdate</v>
      </c>
    </row>
    <row r="118" spans="1:13" ht="15.75" customHeight="1">
      <c r="A118" s="5">
        <v>45649</v>
      </c>
      <c r="B118" s="2" t="s">
        <v>28</v>
      </c>
      <c r="C118" s="2">
        <v>1092</v>
      </c>
      <c r="D118" s="2">
        <v>408</v>
      </c>
      <c r="E118" s="2">
        <v>280795</v>
      </c>
      <c r="F118" s="19">
        <f t="shared" si="4"/>
        <v>0.24359408109118752</v>
      </c>
      <c r="G118" s="2">
        <v>8.44</v>
      </c>
      <c r="H118" s="5">
        <v>45649</v>
      </c>
      <c r="I118" s="2">
        <f t="shared" si="5"/>
        <v>844</v>
      </c>
      <c r="J118" s="2">
        <v>4683</v>
      </c>
      <c r="K118">
        <f t="shared" si="6"/>
        <v>684</v>
      </c>
      <c r="L118" s="11">
        <f t="shared" si="7"/>
        <v>0.18022635062993805</v>
      </c>
      <c r="M118" t="str">
        <f>VLOOKUP(B118,Posts!B:O,14,FALSE)</f>
        <v>SustainabilityDrive</v>
      </c>
    </row>
    <row r="119" spans="1:13" ht="15.75" customHeight="1">
      <c r="A119" s="5">
        <v>45649</v>
      </c>
      <c r="B119" s="2" t="s">
        <v>36</v>
      </c>
      <c r="C119" s="2">
        <v>1155</v>
      </c>
      <c r="D119" s="2">
        <v>425</v>
      </c>
      <c r="E119" s="2">
        <v>93347</v>
      </c>
      <c r="F119" s="19">
        <f t="shared" si="4"/>
        <v>0.78202834584935776</v>
      </c>
      <c r="G119" s="2">
        <v>2.02</v>
      </c>
      <c r="H119" s="5">
        <v>45649</v>
      </c>
      <c r="I119" s="2">
        <f t="shared" si="5"/>
        <v>202</v>
      </c>
      <c r="J119" s="2">
        <v>47502</v>
      </c>
      <c r="K119">
        <f t="shared" si="6"/>
        <v>730</v>
      </c>
      <c r="L119" s="11">
        <f t="shared" si="7"/>
        <v>4.2524525283145972E-3</v>
      </c>
      <c r="M119" t="str">
        <f>VLOOKUP(B119,Posts!B:O,14,FALSE)</f>
        <v>ModelYCampaign</v>
      </c>
    </row>
    <row r="120" spans="1:13" ht="15.75" customHeight="1">
      <c r="A120" s="5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19">
        <f t="shared" si="4"/>
        <v>1.123041457611657</v>
      </c>
      <c r="G120" s="2">
        <v>7.74</v>
      </c>
      <c r="H120" s="5">
        <v>45649</v>
      </c>
      <c r="I120" s="2">
        <f t="shared" si="5"/>
        <v>774</v>
      </c>
      <c r="J120" s="2">
        <v>35359</v>
      </c>
      <c r="K120">
        <f t="shared" si="6"/>
        <v>911</v>
      </c>
      <c r="L120" s="11">
        <f t="shared" si="7"/>
        <v>2.1889759325772785E-2</v>
      </c>
      <c r="M120" t="str">
        <f>VLOOKUP(B120,Posts!B:O,14,FALSE)</f>
        <v>CybertruckLaunch</v>
      </c>
    </row>
    <row r="121" spans="1:13" ht="15.75" customHeight="1">
      <c r="A121" s="5">
        <v>45649</v>
      </c>
      <c r="B121" s="2" t="s">
        <v>23</v>
      </c>
      <c r="C121" s="2">
        <v>1900</v>
      </c>
      <c r="D121" s="2">
        <v>311</v>
      </c>
      <c r="E121" s="2">
        <v>25177</v>
      </c>
      <c r="F121" s="19">
        <f t="shared" si="4"/>
        <v>6.3113158835445047</v>
      </c>
      <c r="G121" s="2">
        <v>2.89</v>
      </c>
      <c r="H121" s="5">
        <v>45649</v>
      </c>
      <c r="I121" s="2">
        <f t="shared" si="5"/>
        <v>289</v>
      </c>
      <c r="J121" s="2">
        <v>14154</v>
      </c>
      <c r="K121">
        <f t="shared" si="6"/>
        <v>1589</v>
      </c>
      <c r="L121" s="11">
        <f t="shared" si="7"/>
        <v>2.0418256323300833E-2</v>
      </c>
      <c r="M121" t="str">
        <f>VLOOKUP(B121,Posts!B:O,14,FALSE)</f>
        <v>FSDUpdate</v>
      </c>
    </row>
    <row r="122" spans="1:13" ht="15.75" customHeight="1">
      <c r="A122" s="5">
        <v>45656</v>
      </c>
      <c r="B122" s="2" t="s">
        <v>28</v>
      </c>
      <c r="C122" s="2">
        <v>1814</v>
      </c>
      <c r="D122" s="2">
        <v>49</v>
      </c>
      <c r="E122" s="2">
        <v>140804</v>
      </c>
      <c r="F122" s="19">
        <f t="shared" si="4"/>
        <v>1.2535155251271271</v>
      </c>
      <c r="G122" s="2">
        <v>1.76</v>
      </c>
      <c r="H122" s="5">
        <v>45656</v>
      </c>
      <c r="I122" s="2">
        <f t="shared" si="5"/>
        <v>176</v>
      </c>
      <c r="J122" s="2">
        <v>4313</v>
      </c>
      <c r="K122">
        <f t="shared" si="6"/>
        <v>1765</v>
      </c>
      <c r="L122" s="11">
        <f t="shared" si="7"/>
        <v>4.0806862972409E-2</v>
      </c>
      <c r="M122" t="str">
        <f>VLOOKUP(B122,Posts!B:O,14,FALSE)</f>
        <v>SustainabilityDrive</v>
      </c>
    </row>
    <row r="123" spans="1:13" ht="15.75" customHeight="1">
      <c r="A123" s="5">
        <v>45656</v>
      </c>
      <c r="B123" s="2" t="s">
        <v>36</v>
      </c>
      <c r="C123" s="2">
        <v>1980</v>
      </c>
      <c r="D123" s="2">
        <v>204</v>
      </c>
      <c r="E123" s="2">
        <v>379431</v>
      </c>
      <c r="F123" s="19">
        <f t="shared" si="4"/>
        <v>0.46806929323118035</v>
      </c>
      <c r="G123" s="2">
        <v>3.09</v>
      </c>
      <c r="H123" s="5">
        <v>45656</v>
      </c>
      <c r="I123" s="2">
        <f t="shared" si="5"/>
        <v>309</v>
      </c>
      <c r="J123" s="2">
        <v>25140</v>
      </c>
      <c r="K123">
        <f t="shared" si="6"/>
        <v>1776</v>
      </c>
      <c r="L123" s="11">
        <f t="shared" si="7"/>
        <v>1.2291169451073985E-2</v>
      </c>
      <c r="M123" t="str">
        <f>VLOOKUP(B123,Posts!B:O,14,FALSE)</f>
        <v>ModelYCampaign</v>
      </c>
    </row>
    <row r="124" spans="1:13" ht="15.75" customHeight="1">
      <c r="A124" s="5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19">
        <f t="shared" si="4"/>
        <v>0.55634189738421069</v>
      </c>
      <c r="G124" s="2">
        <v>4.68</v>
      </c>
      <c r="H124" s="5">
        <v>45656</v>
      </c>
      <c r="I124" s="2">
        <f t="shared" si="5"/>
        <v>468</v>
      </c>
      <c r="J124" s="2">
        <v>9118</v>
      </c>
      <c r="K124">
        <f t="shared" si="6"/>
        <v>1529</v>
      </c>
      <c r="L124" s="11">
        <f t="shared" si="7"/>
        <v>5.1327045404694002E-2</v>
      </c>
      <c r="M124" t="str">
        <f>VLOOKUP(B124,Posts!B:O,14,FALSE)</f>
        <v>CybertruckLaunch</v>
      </c>
    </row>
    <row r="125" spans="1:13" ht="15.75" customHeight="1">
      <c r="A125" s="5">
        <v>45656</v>
      </c>
      <c r="B125" s="2" t="s">
        <v>23</v>
      </c>
      <c r="C125" s="2">
        <v>1495</v>
      </c>
      <c r="D125" s="2">
        <v>35</v>
      </c>
      <c r="E125" s="2">
        <v>136845</v>
      </c>
      <c r="F125" s="19">
        <f t="shared" si="4"/>
        <v>1.0669005078738718</v>
      </c>
      <c r="G125" s="2">
        <v>4.4800000000000004</v>
      </c>
      <c r="H125" s="5">
        <v>45656</v>
      </c>
      <c r="I125" s="2">
        <f t="shared" si="5"/>
        <v>448.00000000000006</v>
      </c>
      <c r="J125" s="2">
        <v>39931</v>
      </c>
      <c r="K125">
        <f t="shared" si="6"/>
        <v>1460</v>
      </c>
      <c r="L125" s="11">
        <f t="shared" si="7"/>
        <v>1.1219353384588416E-2</v>
      </c>
      <c r="M125" t="str">
        <f>VLOOKUP(B125,Posts!B:O,14,FALSE)</f>
        <v>FSDUpdate</v>
      </c>
    </row>
    <row r="126" spans="1:13" ht="15.75" customHeight="1">
      <c r="A126" s="5">
        <v>45663</v>
      </c>
      <c r="B126" s="2" t="s">
        <v>28</v>
      </c>
      <c r="C126" s="2">
        <v>1013</v>
      </c>
      <c r="D126" s="2">
        <v>110</v>
      </c>
      <c r="E126" s="2">
        <v>466382</v>
      </c>
      <c r="F126" s="19">
        <f t="shared" si="4"/>
        <v>0.19361810704529764</v>
      </c>
      <c r="G126" s="2">
        <v>5.3</v>
      </c>
      <c r="H126" s="5">
        <v>45663</v>
      </c>
      <c r="I126" s="2">
        <f t="shared" si="5"/>
        <v>530</v>
      </c>
      <c r="J126" s="2">
        <v>37132</v>
      </c>
      <c r="K126">
        <f t="shared" si="6"/>
        <v>903</v>
      </c>
      <c r="L126" s="11">
        <f t="shared" si="7"/>
        <v>1.4273402994721532E-2</v>
      </c>
      <c r="M126" t="str">
        <f>VLOOKUP(B126,Posts!B:O,14,FALSE)</f>
        <v>SustainabilityDrive</v>
      </c>
    </row>
    <row r="127" spans="1:13" ht="15.75" customHeight="1">
      <c r="A127" s="5">
        <v>45663</v>
      </c>
      <c r="B127" s="2" t="s">
        <v>36</v>
      </c>
      <c r="C127" s="2">
        <v>816</v>
      </c>
      <c r="D127" s="2">
        <v>196</v>
      </c>
      <c r="E127" s="2">
        <v>95728</v>
      </c>
      <c r="F127" s="19">
        <f t="shared" si="4"/>
        <v>0.64766839378238339</v>
      </c>
      <c r="G127" s="2">
        <v>8.1999999999999993</v>
      </c>
      <c r="H127" s="5">
        <v>45663</v>
      </c>
      <c r="I127" s="2">
        <f t="shared" si="5"/>
        <v>819.99999999999989</v>
      </c>
      <c r="J127" s="2">
        <v>17951</v>
      </c>
      <c r="K127">
        <f t="shared" si="6"/>
        <v>620</v>
      </c>
      <c r="L127" s="11">
        <f t="shared" si="7"/>
        <v>4.5679906411899056E-2</v>
      </c>
      <c r="M127" t="str">
        <f>VLOOKUP(B127,Posts!B:O,14,FALSE)</f>
        <v>ModelYCampaign</v>
      </c>
    </row>
    <row r="128" spans="1:13" ht="15.75" customHeight="1">
      <c r="A128" s="5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19">
        <f t="shared" si="4"/>
        <v>0.32008104408927779</v>
      </c>
      <c r="G128" s="2">
        <v>2.2200000000000002</v>
      </c>
      <c r="H128" s="5">
        <v>45663</v>
      </c>
      <c r="I128" s="2">
        <f t="shared" si="5"/>
        <v>222.00000000000003</v>
      </c>
      <c r="J128" s="2">
        <v>2798</v>
      </c>
      <c r="K128">
        <f t="shared" si="6"/>
        <v>1188</v>
      </c>
      <c r="L128" s="11">
        <f t="shared" si="7"/>
        <v>7.9342387419585436E-2</v>
      </c>
      <c r="M128" t="str">
        <f>VLOOKUP(B128,Posts!B:O,14,FALSE)</f>
        <v>CybertruckLaunch</v>
      </c>
    </row>
    <row r="129" spans="1:13" ht="15.75" customHeight="1">
      <c r="A129" s="5">
        <v>45663</v>
      </c>
      <c r="B129" s="2" t="s">
        <v>23</v>
      </c>
      <c r="C129" s="2">
        <v>891</v>
      </c>
      <c r="D129" s="2">
        <v>45</v>
      </c>
      <c r="E129" s="2">
        <v>95410</v>
      </c>
      <c r="F129" s="19">
        <f t="shared" si="4"/>
        <v>0.88669950738916259</v>
      </c>
      <c r="G129" s="2">
        <v>8.33</v>
      </c>
      <c r="H129" s="5">
        <v>45663</v>
      </c>
      <c r="I129" s="2">
        <f t="shared" si="5"/>
        <v>833</v>
      </c>
      <c r="J129" s="2">
        <v>15045</v>
      </c>
      <c r="K129">
        <f t="shared" si="6"/>
        <v>846</v>
      </c>
      <c r="L129" s="11">
        <f t="shared" si="7"/>
        <v>5.5367231638418071E-2</v>
      </c>
      <c r="M129" t="str">
        <f>VLOOKUP(B129,Posts!B:O,14,FALSE)</f>
        <v>FSDUpdate</v>
      </c>
    </row>
    <row r="130" spans="1:13" ht="15.75" customHeight="1">
      <c r="A130" s="5">
        <v>45670</v>
      </c>
      <c r="B130" s="2" t="s">
        <v>28</v>
      </c>
      <c r="C130" s="2">
        <v>1855</v>
      </c>
      <c r="D130" s="2">
        <v>133</v>
      </c>
      <c r="E130" s="2">
        <v>349413</v>
      </c>
      <c r="F130" s="19">
        <f t="shared" si="4"/>
        <v>0.49282654051223052</v>
      </c>
      <c r="G130" s="2">
        <v>3.3</v>
      </c>
      <c r="H130" s="5">
        <v>45670</v>
      </c>
      <c r="I130" s="2">
        <f t="shared" si="5"/>
        <v>330</v>
      </c>
      <c r="J130" s="2">
        <v>14548</v>
      </c>
      <c r="K130">
        <f t="shared" si="6"/>
        <v>1722</v>
      </c>
      <c r="L130" s="11">
        <f t="shared" si="7"/>
        <v>2.2683530382183115E-2</v>
      </c>
      <c r="M130" t="str">
        <f>VLOOKUP(B130,Posts!B:O,14,FALSE)</f>
        <v>SustainabilityDrive</v>
      </c>
    </row>
    <row r="131" spans="1:13" ht="15.75" customHeight="1">
      <c r="A131" s="5">
        <v>45670</v>
      </c>
      <c r="B131" s="2" t="s">
        <v>36</v>
      </c>
      <c r="C131" s="2">
        <v>651</v>
      </c>
      <c r="D131" s="2">
        <v>353</v>
      </c>
      <c r="E131" s="2">
        <v>224699</v>
      </c>
      <c r="F131" s="19">
        <f t="shared" ref="F131:F194" si="8">((C131-D131)/E131)*100</f>
        <v>0.13262186302564766</v>
      </c>
      <c r="G131" s="2">
        <v>5.61</v>
      </c>
      <c r="H131" s="5">
        <v>45670</v>
      </c>
      <c r="I131" s="2">
        <f t="shared" ref="I131:I194" si="9">G131*100</f>
        <v>561</v>
      </c>
      <c r="J131" s="2">
        <v>45708</v>
      </c>
      <c r="K131">
        <f t="shared" ref="K131:K194" si="10">(C131-D131)</f>
        <v>298</v>
      </c>
      <c r="L131" s="11">
        <f t="shared" ref="L131:L194" si="11">(G131/J131)*100</f>
        <v>1.2273562614859544E-2</v>
      </c>
      <c r="M131" t="str">
        <f>VLOOKUP(B131,Posts!B:O,14,FALSE)</f>
        <v>ModelYCampaign</v>
      </c>
    </row>
    <row r="132" spans="1:13" ht="15.75" customHeight="1">
      <c r="A132" s="5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19">
        <f t="shared" si="8"/>
        <v>-2.9514486693885584E-2</v>
      </c>
      <c r="G132" s="2">
        <v>2.56</v>
      </c>
      <c r="H132" s="5">
        <v>45670</v>
      </c>
      <c r="I132" s="2">
        <f t="shared" si="9"/>
        <v>256</v>
      </c>
      <c r="J132" s="2">
        <v>12350</v>
      </c>
      <c r="K132">
        <f t="shared" si="10"/>
        <v>-144</v>
      </c>
      <c r="L132" s="11">
        <f t="shared" si="11"/>
        <v>2.0728744939271255E-2</v>
      </c>
      <c r="M132" t="str">
        <f>VLOOKUP(B132,Posts!B:O,14,FALSE)</f>
        <v>CybertruckLaunch</v>
      </c>
    </row>
    <row r="133" spans="1:13" ht="15.75" customHeight="1">
      <c r="A133" s="5">
        <v>45670</v>
      </c>
      <c r="B133" s="2" t="s">
        <v>23</v>
      </c>
      <c r="C133" s="2">
        <v>1331</v>
      </c>
      <c r="D133" s="2">
        <v>430</v>
      </c>
      <c r="E133" s="2">
        <v>14437</v>
      </c>
      <c r="F133" s="19">
        <f t="shared" si="8"/>
        <v>6.2409087760615085</v>
      </c>
      <c r="G133" s="2">
        <v>3.29</v>
      </c>
      <c r="H133" s="5">
        <v>45670</v>
      </c>
      <c r="I133" s="2">
        <f t="shared" si="9"/>
        <v>329</v>
      </c>
      <c r="J133" s="2">
        <v>40868</v>
      </c>
      <c r="K133">
        <f t="shared" si="10"/>
        <v>901</v>
      </c>
      <c r="L133" s="11">
        <f t="shared" si="11"/>
        <v>8.0503083096799457E-3</v>
      </c>
      <c r="M133" t="str">
        <f>VLOOKUP(B133,Posts!B:O,14,FALSE)</f>
        <v>FSDUpdate</v>
      </c>
    </row>
    <row r="134" spans="1:13" ht="15.75" customHeight="1">
      <c r="A134" s="5">
        <v>45677</v>
      </c>
      <c r="B134" s="2" t="s">
        <v>28</v>
      </c>
      <c r="C134" s="2">
        <v>1748</v>
      </c>
      <c r="D134" s="2">
        <v>176</v>
      </c>
      <c r="E134" s="2">
        <v>383681</v>
      </c>
      <c r="F134" s="19">
        <f t="shared" si="8"/>
        <v>0.40971536250166152</v>
      </c>
      <c r="G134" s="2">
        <v>9.24</v>
      </c>
      <c r="H134" s="5">
        <v>45677</v>
      </c>
      <c r="I134" s="2">
        <f t="shared" si="9"/>
        <v>924</v>
      </c>
      <c r="J134" s="2">
        <v>43122</v>
      </c>
      <c r="K134">
        <f t="shared" si="10"/>
        <v>1572</v>
      </c>
      <c r="L134" s="11">
        <f t="shared" si="11"/>
        <v>2.1427577570613608E-2</v>
      </c>
      <c r="M134" t="str">
        <f>VLOOKUP(B134,Posts!B:O,14,FALSE)</f>
        <v>SustainabilityDrive</v>
      </c>
    </row>
    <row r="135" spans="1:13" ht="15.75" customHeight="1">
      <c r="A135" s="5">
        <v>45677</v>
      </c>
      <c r="B135" s="2" t="s">
        <v>36</v>
      </c>
      <c r="C135" s="2">
        <v>663</v>
      </c>
      <c r="D135" s="2">
        <v>236</v>
      </c>
      <c r="E135" s="2">
        <v>479490</v>
      </c>
      <c r="F135" s="19">
        <f t="shared" si="8"/>
        <v>8.905295209493419E-2</v>
      </c>
      <c r="G135" s="2">
        <v>4.51</v>
      </c>
      <c r="H135" s="5">
        <v>45677</v>
      </c>
      <c r="I135" s="2">
        <f t="shared" si="9"/>
        <v>451</v>
      </c>
      <c r="J135" s="2">
        <v>23853</v>
      </c>
      <c r="K135">
        <f t="shared" si="10"/>
        <v>427</v>
      </c>
      <c r="L135" s="11">
        <f t="shared" si="11"/>
        <v>1.8907474950739949E-2</v>
      </c>
      <c r="M135" t="str">
        <f>VLOOKUP(B135,Posts!B:O,14,FALSE)</f>
        <v>ModelYCampaign</v>
      </c>
    </row>
    <row r="136" spans="1:13" ht="15.75" customHeight="1">
      <c r="A136" s="5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19">
        <f t="shared" si="8"/>
        <v>0.71621491270377158</v>
      </c>
      <c r="G136" s="2">
        <v>5.23</v>
      </c>
      <c r="H136" s="5">
        <v>45677</v>
      </c>
      <c r="I136" s="2">
        <f t="shared" si="9"/>
        <v>523</v>
      </c>
      <c r="J136" s="2">
        <v>45380</v>
      </c>
      <c r="K136">
        <f t="shared" si="10"/>
        <v>891</v>
      </c>
      <c r="L136" s="11">
        <f t="shared" si="11"/>
        <v>1.1524900837373293E-2</v>
      </c>
      <c r="M136" t="str">
        <f>VLOOKUP(B136,Posts!B:O,14,FALSE)</f>
        <v>CybertruckLaunch</v>
      </c>
    </row>
    <row r="137" spans="1:13" ht="15.75" customHeight="1">
      <c r="A137" s="5">
        <v>45677</v>
      </c>
      <c r="B137" s="2" t="s">
        <v>23</v>
      </c>
      <c r="C137" s="2">
        <v>1166</v>
      </c>
      <c r="D137" s="2">
        <v>442</v>
      </c>
      <c r="E137" s="2">
        <v>336949</v>
      </c>
      <c r="F137" s="19">
        <f t="shared" si="8"/>
        <v>0.2148693125665902</v>
      </c>
      <c r="G137" s="2">
        <v>4.68</v>
      </c>
      <c r="H137" s="5">
        <v>45677</v>
      </c>
      <c r="I137" s="2">
        <f t="shared" si="9"/>
        <v>468</v>
      </c>
      <c r="J137" s="2">
        <v>7705</v>
      </c>
      <c r="K137">
        <f t="shared" si="10"/>
        <v>724</v>
      </c>
      <c r="L137" s="11">
        <f t="shared" si="11"/>
        <v>6.0739779364049312E-2</v>
      </c>
      <c r="M137" t="str">
        <f>VLOOKUP(B137,Posts!B:O,14,FALSE)</f>
        <v>FSDUpdate</v>
      </c>
    </row>
    <row r="138" spans="1:13" ht="15.75" customHeight="1">
      <c r="A138" s="5">
        <v>45684</v>
      </c>
      <c r="B138" s="2" t="s">
        <v>28</v>
      </c>
      <c r="C138" s="2">
        <v>115</v>
      </c>
      <c r="D138" s="2">
        <v>281</v>
      </c>
      <c r="E138" s="2">
        <v>357265</v>
      </c>
      <c r="F138" s="19">
        <f t="shared" si="8"/>
        <v>-4.6464109274628081E-2</v>
      </c>
      <c r="G138" s="2">
        <v>9.23</v>
      </c>
      <c r="H138" s="5">
        <v>45684</v>
      </c>
      <c r="I138" s="2">
        <f t="shared" si="9"/>
        <v>923</v>
      </c>
      <c r="J138" s="2">
        <v>25525</v>
      </c>
      <c r="K138">
        <f t="shared" si="10"/>
        <v>-166</v>
      </c>
      <c r="L138" s="11">
        <f t="shared" si="11"/>
        <v>3.6160626836434867E-2</v>
      </c>
      <c r="M138" t="str">
        <f>VLOOKUP(B138,Posts!B:O,14,FALSE)</f>
        <v>SustainabilityDrive</v>
      </c>
    </row>
    <row r="139" spans="1:13" ht="15.75" customHeight="1">
      <c r="A139" s="5">
        <v>45684</v>
      </c>
      <c r="B139" s="2" t="s">
        <v>36</v>
      </c>
      <c r="C139" s="2">
        <v>1249</v>
      </c>
      <c r="D139" s="2">
        <v>351</v>
      </c>
      <c r="E139" s="2">
        <v>321307</v>
      </c>
      <c r="F139" s="19">
        <f t="shared" si="8"/>
        <v>0.27948348464241363</v>
      </c>
      <c r="G139" s="2">
        <v>6.37</v>
      </c>
      <c r="H139" s="5">
        <v>45684</v>
      </c>
      <c r="I139" s="2">
        <f t="shared" si="9"/>
        <v>637</v>
      </c>
      <c r="J139" s="2">
        <v>20560</v>
      </c>
      <c r="K139">
        <f t="shared" si="10"/>
        <v>898</v>
      </c>
      <c r="L139" s="11">
        <f t="shared" si="11"/>
        <v>3.0982490272373545E-2</v>
      </c>
      <c r="M139" t="str">
        <f>VLOOKUP(B139,Posts!B:O,14,FALSE)</f>
        <v>ModelYCampaign</v>
      </c>
    </row>
    <row r="140" spans="1:13" ht="15.75" customHeight="1">
      <c r="A140" s="5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19">
        <f t="shared" si="8"/>
        <v>0.54309533874905258</v>
      </c>
      <c r="G140" s="2">
        <v>2.0099999999999998</v>
      </c>
      <c r="H140" s="5">
        <v>45684</v>
      </c>
      <c r="I140" s="2">
        <f t="shared" si="9"/>
        <v>200.99999999999997</v>
      </c>
      <c r="J140" s="2">
        <v>19119</v>
      </c>
      <c r="K140">
        <f t="shared" si="10"/>
        <v>1426</v>
      </c>
      <c r="L140" s="11">
        <f t="shared" si="11"/>
        <v>1.0513102149694021E-2</v>
      </c>
      <c r="M140" t="str">
        <f>VLOOKUP(B140,Posts!B:O,14,FALSE)</f>
        <v>CybertruckLaunch</v>
      </c>
    </row>
    <row r="141" spans="1:13" ht="15.75" customHeight="1">
      <c r="A141" s="5">
        <v>45684</v>
      </c>
      <c r="B141" s="2" t="s">
        <v>23</v>
      </c>
      <c r="C141" s="2">
        <v>1411</v>
      </c>
      <c r="D141" s="2">
        <v>186</v>
      </c>
      <c r="E141" s="2">
        <v>461669</v>
      </c>
      <c r="F141" s="19">
        <f t="shared" si="8"/>
        <v>0.26534161921203286</v>
      </c>
      <c r="G141" s="2">
        <v>3.72</v>
      </c>
      <c r="H141" s="5">
        <v>45684</v>
      </c>
      <c r="I141" s="2">
        <f t="shared" si="9"/>
        <v>372</v>
      </c>
      <c r="J141" s="2">
        <v>43999</v>
      </c>
      <c r="K141">
        <f t="shared" si="10"/>
        <v>1225</v>
      </c>
      <c r="L141" s="11">
        <f t="shared" si="11"/>
        <v>8.4547376076729019E-3</v>
      </c>
      <c r="M141" t="str">
        <f>VLOOKUP(B141,Posts!B:O,14,FALSE)</f>
        <v>FSDUpdate</v>
      </c>
    </row>
    <row r="142" spans="1:13" ht="15.75" customHeight="1">
      <c r="A142" s="5">
        <v>45691</v>
      </c>
      <c r="B142" s="2" t="s">
        <v>28</v>
      </c>
      <c r="C142" s="2">
        <v>1556</v>
      </c>
      <c r="D142" s="2">
        <v>476</v>
      </c>
      <c r="E142" s="2">
        <v>351556</v>
      </c>
      <c r="F142" s="19">
        <f t="shared" si="8"/>
        <v>0.30720567989168157</v>
      </c>
      <c r="G142" s="2">
        <v>3.89</v>
      </c>
      <c r="H142" s="5">
        <v>45691</v>
      </c>
      <c r="I142" s="2">
        <f t="shared" si="9"/>
        <v>389</v>
      </c>
      <c r="J142" s="2">
        <v>10825</v>
      </c>
      <c r="K142">
        <f t="shared" si="10"/>
        <v>1080</v>
      </c>
      <c r="L142" s="11">
        <f t="shared" si="11"/>
        <v>3.5935334872979216E-2</v>
      </c>
      <c r="M142" t="str">
        <f>VLOOKUP(B142,Posts!B:O,14,FALSE)</f>
        <v>SustainabilityDrive</v>
      </c>
    </row>
    <row r="143" spans="1:13" ht="15.75" customHeight="1">
      <c r="A143" s="5">
        <v>45691</v>
      </c>
      <c r="B143" s="2" t="s">
        <v>36</v>
      </c>
      <c r="C143" s="2">
        <v>1159</v>
      </c>
      <c r="D143" s="2">
        <v>411</v>
      </c>
      <c r="E143" s="2">
        <v>135987</v>
      </c>
      <c r="F143" s="19">
        <f t="shared" si="8"/>
        <v>0.5500525785553031</v>
      </c>
      <c r="G143" s="2">
        <v>8.6999999999999993</v>
      </c>
      <c r="H143" s="5">
        <v>45691</v>
      </c>
      <c r="I143" s="2">
        <f t="shared" si="9"/>
        <v>869.99999999999989</v>
      </c>
      <c r="J143" s="2">
        <v>40323</v>
      </c>
      <c r="K143">
        <f t="shared" si="10"/>
        <v>748</v>
      </c>
      <c r="L143" s="11">
        <f t="shared" si="11"/>
        <v>2.1575775611933634E-2</v>
      </c>
      <c r="M143" t="str">
        <f>VLOOKUP(B143,Posts!B:O,14,FALSE)</f>
        <v>ModelYCampaign</v>
      </c>
    </row>
    <row r="144" spans="1:13" ht="15.75" customHeight="1">
      <c r="A144" s="5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19">
        <f t="shared" si="8"/>
        <v>0.32046588643454949</v>
      </c>
      <c r="G144" s="2">
        <v>6.95</v>
      </c>
      <c r="H144" s="5">
        <v>45691</v>
      </c>
      <c r="I144" s="2">
        <f t="shared" si="9"/>
        <v>695</v>
      </c>
      <c r="J144" s="2">
        <v>48270</v>
      </c>
      <c r="K144">
        <f t="shared" si="10"/>
        <v>569</v>
      </c>
      <c r="L144" s="11">
        <f t="shared" si="11"/>
        <v>1.4398176921483324E-2</v>
      </c>
      <c r="M144" t="str">
        <f>VLOOKUP(B144,Posts!B:O,14,FALSE)</f>
        <v>CybertruckLaunch</v>
      </c>
    </row>
    <row r="145" spans="1:13" ht="15.75" customHeight="1">
      <c r="A145" s="5">
        <v>45691</v>
      </c>
      <c r="B145" s="2" t="s">
        <v>23</v>
      </c>
      <c r="C145" s="2">
        <v>152</v>
      </c>
      <c r="D145" s="2">
        <v>355</v>
      </c>
      <c r="E145" s="2">
        <v>270766</v>
      </c>
      <c r="F145" s="19">
        <f t="shared" si="8"/>
        <v>-7.4972485467156139E-2</v>
      </c>
      <c r="G145" s="2">
        <v>9.48</v>
      </c>
      <c r="H145" s="5">
        <v>45691</v>
      </c>
      <c r="I145" s="2">
        <f t="shared" si="9"/>
        <v>948</v>
      </c>
      <c r="J145" s="2">
        <v>18001</v>
      </c>
      <c r="K145">
        <f t="shared" si="10"/>
        <v>-203</v>
      </c>
      <c r="L145" s="11">
        <f t="shared" si="11"/>
        <v>5.266374090328315E-2</v>
      </c>
      <c r="M145" t="str">
        <f>VLOOKUP(B145,Posts!B:O,14,FALSE)</f>
        <v>FSDUpdate</v>
      </c>
    </row>
    <row r="146" spans="1:13" ht="15.75" customHeight="1">
      <c r="A146" s="5">
        <v>45698</v>
      </c>
      <c r="B146" s="2" t="s">
        <v>28</v>
      </c>
      <c r="C146" s="2">
        <v>1957</v>
      </c>
      <c r="D146" s="2">
        <v>234</v>
      </c>
      <c r="E146" s="2">
        <v>222126</v>
      </c>
      <c r="F146" s="19">
        <f t="shared" si="8"/>
        <v>0.77568587198256844</v>
      </c>
      <c r="G146" s="2">
        <v>4.6100000000000003</v>
      </c>
      <c r="H146" s="5">
        <v>45698</v>
      </c>
      <c r="I146" s="2">
        <f t="shared" si="9"/>
        <v>461.00000000000006</v>
      </c>
      <c r="J146" s="2">
        <v>3314</v>
      </c>
      <c r="K146">
        <f t="shared" si="10"/>
        <v>1723</v>
      </c>
      <c r="L146" s="11">
        <f t="shared" si="11"/>
        <v>0.13910681955340978</v>
      </c>
      <c r="M146" t="str">
        <f>VLOOKUP(B146,Posts!B:O,14,FALSE)</f>
        <v>SustainabilityDrive</v>
      </c>
    </row>
    <row r="147" spans="1:13" ht="15.75" customHeight="1">
      <c r="A147" s="5">
        <v>45698</v>
      </c>
      <c r="B147" s="2" t="s">
        <v>36</v>
      </c>
      <c r="C147" s="2">
        <v>1294</v>
      </c>
      <c r="D147" s="2">
        <v>382</v>
      </c>
      <c r="E147" s="2">
        <v>309914</v>
      </c>
      <c r="F147" s="19">
        <f t="shared" si="8"/>
        <v>0.29427518601934727</v>
      </c>
      <c r="G147" s="2">
        <v>8.0299999999999994</v>
      </c>
      <c r="H147" s="5">
        <v>45698</v>
      </c>
      <c r="I147" s="2">
        <f t="shared" si="9"/>
        <v>802.99999999999989</v>
      </c>
      <c r="J147" s="2">
        <v>23489</v>
      </c>
      <c r="K147">
        <f t="shared" si="10"/>
        <v>912</v>
      </c>
      <c r="L147" s="11">
        <f t="shared" si="11"/>
        <v>3.418621482396015E-2</v>
      </c>
      <c r="M147" t="str">
        <f>VLOOKUP(B147,Posts!B:O,14,FALSE)</f>
        <v>ModelYCampaign</v>
      </c>
    </row>
    <row r="148" spans="1:13" ht="15.75" customHeight="1">
      <c r="A148" s="5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19">
        <f t="shared" si="8"/>
        <v>0.94958208908059605</v>
      </c>
      <c r="G148" s="2">
        <v>6.99</v>
      </c>
      <c r="H148" s="5">
        <v>45698</v>
      </c>
      <c r="I148" s="2">
        <f t="shared" si="9"/>
        <v>699</v>
      </c>
      <c r="J148" s="2">
        <v>42832</v>
      </c>
      <c r="K148">
        <f t="shared" si="10"/>
        <v>1202</v>
      </c>
      <c r="L148" s="11">
        <f t="shared" si="11"/>
        <v>1.6319574150168097E-2</v>
      </c>
      <c r="M148" t="str">
        <f>VLOOKUP(B148,Posts!B:O,14,FALSE)</f>
        <v>CybertruckLaunch</v>
      </c>
    </row>
    <row r="149" spans="1:13" ht="15.75" customHeight="1">
      <c r="A149" s="5">
        <v>45698</v>
      </c>
      <c r="B149" s="2" t="s">
        <v>23</v>
      </c>
      <c r="C149" s="2">
        <v>1707</v>
      </c>
      <c r="D149" s="2">
        <v>263</v>
      </c>
      <c r="E149" s="2">
        <v>485280</v>
      </c>
      <c r="F149" s="19">
        <f t="shared" si="8"/>
        <v>0.29756017144741181</v>
      </c>
      <c r="G149" s="2">
        <v>9.0299999999999994</v>
      </c>
      <c r="H149" s="5">
        <v>45698</v>
      </c>
      <c r="I149" s="2">
        <f t="shared" si="9"/>
        <v>902.99999999999989</v>
      </c>
      <c r="J149" s="2">
        <v>24494</v>
      </c>
      <c r="K149">
        <f t="shared" si="10"/>
        <v>1444</v>
      </c>
      <c r="L149" s="11">
        <f t="shared" si="11"/>
        <v>3.6866171307258923E-2</v>
      </c>
      <c r="M149" t="str">
        <f>VLOOKUP(B149,Posts!B:O,14,FALSE)</f>
        <v>FSDUpdate</v>
      </c>
    </row>
    <row r="150" spans="1:13" ht="15.75" customHeight="1">
      <c r="A150" s="5">
        <v>45705</v>
      </c>
      <c r="B150" s="2" t="s">
        <v>28</v>
      </c>
      <c r="C150" s="2">
        <v>1138</v>
      </c>
      <c r="D150" s="2">
        <v>173</v>
      </c>
      <c r="E150" s="2">
        <v>453243</v>
      </c>
      <c r="F150" s="19">
        <f t="shared" si="8"/>
        <v>0.21291007252180397</v>
      </c>
      <c r="G150" s="2">
        <v>2.86</v>
      </c>
      <c r="H150" s="5">
        <v>45705</v>
      </c>
      <c r="I150" s="2">
        <f t="shared" si="9"/>
        <v>286</v>
      </c>
      <c r="J150" s="2">
        <v>44097</v>
      </c>
      <c r="K150">
        <f t="shared" si="10"/>
        <v>965</v>
      </c>
      <c r="L150" s="11">
        <f t="shared" si="11"/>
        <v>6.4857019751910563E-3</v>
      </c>
      <c r="M150" t="str">
        <f>VLOOKUP(B150,Posts!B:O,14,FALSE)</f>
        <v>SustainabilityDrive</v>
      </c>
    </row>
    <row r="151" spans="1:13" ht="15.75" customHeight="1">
      <c r="A151" s="5">
        <v>45705</v>
      </c>
      <c r="B151" s="2" t="s">
        <v>36</v>
      </c>
      <c r="C151" s="2">
        <v>1895</v>
      </c>
      <c r="D151" s="2">
        <v>305</v>
      </c>
      <c r="E151" s="2">
        <v>104967</v>
      </c>
      <c r="F151" s="19">
        <f t="shared" si="8"/>
        <v>1.5147617822744293</v>
      </c>
      <c r="G151" s="2">
        <v>3.85</v>
      </c>
      <c r="H151" s="5">
        <v>45705</v>
      </c>
      <c r="I151" s="2">
        <f t="shared" si="9"/>
        <v>385</v>
      </c>
      <c r="J151" s="2">
        <v>31853</v>
      </c>
      <c r="K151">
        <f t="shared" si="10"/>
        <v>1590</v>
      </c>
      <c r="L151" s="11">
        <f t="shared" si="11"/>
        <v>1.2086773616299878E-2</v>
      </c>
      <c r="M151" t="str">
        <f>VLOOKUP(B151,Posts!B:O,14,FALSE)</f>
        <v>ModelYCampaign</v>
      </c>
    </row>
    <row r="152" spans="1:13" ht="15.75" customHeight="1">
      <c r="A152" s="5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19">
        <f t="shared" si="8"/>
        <v>-2.5410691720235155E-2</v>
      </c>
      <c r="G152" s="2">
        <v>7.3</v>
      </c>
      <c r="H152" s="5">
        <v>45705</v>
      </c>
      <c r="I152" s="2">
        <f t="shared" si="9"/>
        <v>730</v>
      </c>
      <c r="J152" s="2">
        <v>37636</v>
      </c>
      <c r="K152">
        <f t="shared" si="10"/>
        <v>-37</v>
      </c>
      <c r="L152" s="11">
        <f t="shared" si="11"/>
        <v>1.9396322669784249E-2</v>
      </c>
      <c r="M152" t="str">
        <f>VLOOKUP(B152,Posts!B:O,14,FALSE)</f>
        <v>CybertruckLaunch</v>
      </c>
    </row>
    <row r="153" spans="1:13" ht="15.75" customHeight="1">
      <c r="A153" s="5">
        <v>45705</v>
      </c>
      <c r="B153" s="2" t="s">
        <v>23</v>
      </c>
      <c r="C153" s="2">
        <v>1662</v>
      </c>
      <c r="D153" s="2">
        <v>487</v>
      </c>
      <c r="E153" s="2">
        <v>105980</v>
      </c>
      <c r="F153" s="19">
        <f t="shared" si="8"/>
        <v>1.1086997546706925</v>
      </c>
      <c r="G153" s="2">
        <v>9.08</v>
      </c>
      <c r="H153" s="5">
        <v>45705</v>
      </c>
      <c r="I153" s="2">
        <f t="shared" si="9"/>
        <v>908</v>
      </c>
      <c r="J153" s="2">
        <v>22996</v>
      </c>
      <c r="K153">
        <f t="shared" si="10"/>
        <v>1175</v>
      </c>
      <c r="L153" s="11">
        <f t="shared" si="11"/>
        <v>3.9485127848321443E-2</v>
      </c>
      <c r="M153" t="str">
        <f>VLOOKUP(B153,Posts!B:O,14,FALSE)</f>
        <v>FSDUpdate</v>
      </c>
    </row>
    <row r="154" spans="1:13" ht="15.75" customHeight="1">
      <c r="A154" s="5">
        <v>45712</v>
      </c>
      <c r="B154" s="2" t="s">
        <v>28</v>
      </c>
      <c r="C154" s="2">
        <v>1440</v>
      </c>
      <c r="D154" s="2">
        <v>65</v>
      </c>
      <c r="E154" s="2">
        <v>126524</v>
      </c>
      <c r="F154" s="19">
        <f t="shared" si="8"/>
        <v>1.08675033985647</v>
      </c>
      <c r="G154" s="2">
        <v>4.34</v>
      </c>
      <c r="H154" s="5">
        <v>45712</v>
      </c>
      <c r="I154" s="2">
        <f t="shared" si="9"/>
        <v>434</v>
      </c>
      <c r="J154" s="2">
        <v>49772</v>
      </c>
      <c r="K154">
        <f t="shared" si="10"/>
        <v>1375</v>
      </c>
      <c r="L154" s="11">
        <f t="shared" si="11"/>
        <v>8.7197621152455187E-3</v>
      </c>
      <c r="M154" t="str">
        <f>VLOOKUP(B154,Posts!B:O,14,FALSE)</f>
        <v>SustainabilityDrive</v>
      </c>
    </row>
    <row r="155" spans="1:13" ht="15.75" customHeight="1">
      <c r="A155" s="5">
        <v>45712</v>
      </c>
      <c r="B155" s="2" t="s">
        <v>36</v>
      </c>
      <c r="C155" s="2">
        <v>1884</v>
      </c>
      <c r="D155" s="2">
        <v>177</v>
      </c>
      <c r="E155" s="2">
        <v>230448</v>
      </c>
      <c r="F155" s="19">
        <f t="shared" si="8"/>
        <v>0.74073109768798173</v>
      </c>
      <c r="G155" s="2">
        <v>7.8</v>
      </c>
      <c r="H155" s="5">
        <v>45712</v>
      </c>
      <c r="I155" s="2">
        <f t="shared" si="9"/>
        <v>780</v>
      </c>
      <c r="J155" s="2">
        <v>22713</v>
      </c>
      <c r="K155">
        <f t="shared" si="10"/>
        <v>1707</v>
      </c>
      <c r="L155" s="11">
        <f t="shared" si="11"/>
        <v>3.4341566503764361E-2</v>
      </c>
      <c r="M155" t="str">
        <f>VLOOKUP(B155,Posts!B:O,14,FALSE)</f>
        <v>ModelYCampaign</v>
      </c>
    </row>
    <row r="156" spans="1:13" ht="15.75" customHeight="1">
      <c r="A156" s="5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19">
        <f t="shared" si="8"/>
        <v>0.22333891680625351</v>
      </c>
      <c r="G156" s="2">
        <v>3.85</v>
      </c>
      <c r="H156" s="5">
        <v>45712</v>
      </c>
      <c r="I156" s="2">
        <f t="shared" si="9"/>
        <v>385</v>
      </c>
      <c r="J156" s="2">
        <v>8718</v>
      </c>
      <c r="K156">
        <f t="shared" si="10"/>
        <v>708</v>
      </c>
      <c r="L156" s="11">
        <f t="shared" si="11"/>
        <v>4.4161504932323931E-2</v>
      </c>
      <c r="M156" t="str">
        <f>VLOOKUP(B156,Posts!B:O,14,FALSE)</f>
        <v>CybertruckLaunch</v>
      </c>
    </row>
    <row r="157" spans="1:13" ht="15.75" customHeight="1">
      <c r="A157" s="5">
        <v>45712</v>
      </c>
      <c r="B157" s="2" t="s">
        <v>23</v>
      </c>
      <c r="C157" s="2">
        <v>1063</v>
      </c>
      <c r="D157" s="2">
        <v>47</v>
      </c>
      <c r="E157" s="2">
        <v>464239</v>
      </c>
      <c r="F157" s="19">
        <f t="shared" si="8"/>
        <v>0.21885278918832757</v>
      </c>
      <c r="G157" s="2">
        <v>6.58</v>
      </c>
      <c r="H157" s="5">
        <v>45712</v>
      </c>
      <c r="I157" s="2">
        <f t="shared" si="9"/>
        <v>658</v>
      </c>
      <c r="J157" s="2">
        <v>39031</v>
      </c>
      <c r="K157">
        <f t="shared" si="10"/>
        <v>1016</v>
      </c>
      <c r="L157" s="11">
        <f t="shared" si="11"/>
        <v>1.6858394609413033E-2</v>
      </c>
      <c r="M157" t="str">
        <f>VLOOKUP(B157,Posts!B:O,14,FALSE)</f>
        <v>FSDUpdate</v>
      </c>
    </row>
    <row r="158" spans="1:13" ht="15.75" customHeight="1">
      <c r="A158" s="5">
        <v>45719</v>
      </c>
      <c r="B158" s="2" t="s">
        <v>28</v>
      </c>
      <c r="C158" s="2">
        <v>1371</v>
      </c>
      <c r="D158" s="2">
        <v>56</v>
      </c>
      <c r="E158" s="2">
        <v>257579</v>
      </c>
      <c r="F158" s="19">
        <f t="shared" si="8"/>
        <v>0.51052298518124528</v>
      </c>
      <c r="G158" s="2">
        <v>8.6199999999999992</v>
      </c>
      <c r="H158" s="5">
        <v>45719</v>
      </c>
      <c r="I158" s="2">
        <f t="shared" si="9"/>
        <v>861.99999999999989</v>
      </c>
      <c r="J158" s="2">
        <v>33799</v>
      </c>
      <c r="K158">
        <f t="shared" si="10"/>
        <v>1315</v>
      </c>
      <c r="L158" s="11">
        <f t="shared" si="11"/>
        <v>2.5503713127607325E-2</v>
      </c>
      <c r="M158" t="str">
        <f>VLOOKUP(B158,Posts!B:O,14,FALSE)</f>
        <v>SustainabilityDrive</v>
      </c>
    </row>
    <row r="159" spans="1:13" ht="15.75" customHeight="1">
      <c r="A159" s="5">
        <v>45719</v>
      </c>
      <c r="B159" s="2" t="s">
        <v>36</v>
      </c>
      <c r="C159" s="2">
        <v>345</v>
      </c>
      <c r="D159" s="2">
        <v>464</v>
      </c>
      <c r="E159" s="2">
        <v>366881</v>
      </c>
      <c r="F159" s="19">
        <f t="shared" si="8"/>
        <v>-3.2435585380545737E-2</v>
      </c>
      <c r="G159" s="2">
        <v>4.55</v>
      </c>
      <c r="H159" s="5">
        <v>45719</v>
      </c>
      <c r="I159" s="2">
        <f t="shared" si="9"/>
        <v>455</v>
      </c>
      <c r="J159" s="2">
        <v>20553</v>
      </c>
      <c r="K159">
        <f t="shared" si="10"/>
        <v>-119</v>
      </c>
      <c r="L159" s="11">
        <f t="shared" si="11"/>
        <v>2.2137887413029727E-2</v>
      </c>
      <c r="M159" t="str">
        <f>VLOOKUP(B159,Posts!B:O,14,FALSE)</f>
        <v>ModelYCampaign</v>
      </c>
    </row>
    <row r="160" spans="1:13" ht="15.75" customHeight="1">
      <c r="A160" s="5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19">
        <f t="shared" si="8"/>
        <v>0.19268070513850935</v>
      </c>
      <c r="G160" s="2">
        <v>8.33</v>
      </c>
      <c r="H160" s="5">
        <v>45719</v>
      </c>
      <c r="I160" s="2">
        <f t="shared" si="9"/>
        <v>833</v>
      </c>
      <c r="J160" s="2">
        <v>10002</v>
      </c>
      <c r="K160">
        <f t="shared" si="10"/>
        <v>899</v>
      </c>
      <c r="L160" s="11">
        <f t="shared" si="11"/>
        <v>8.3283343331333734E-2</v>
      </c>
      <c r="M160" t="str">
        <f>VLOOKUP(B160,Posts!B:O,14,FALSE)</f>
        <v>CybertruckLaunch</v>
      </c>
    </row>
    <row r="161" spans="1:13" ht="15.75" customHeight="1">
      <c r="A161" s="5">
        <v>45719</v>
      </c>
      <c r="B161" s="2" t="s">
        <v>23</v>
      </c>
      <c r="C161" s="2">
        <v>510</v>
      </c>
      <c r="D161" s="2">
        <v>195</v>
      </c>
      <c r="E161" s="2">
        <v>224534</v>
      </c>
      <c r="F161" s="19">
        <f t="shared" si="8"/>
        <v>0.14029055733207443</v>
      </c>
      <c r="G161" s="2">
        <v>9.4</v>
      </c>
      <c r="H161" s="5">
        <v>45719</v>
      </c>
      <c r="I161" s="2">
        <f t="shared" si="9"/>
        <v>940</v>
      </c>
      <c r="J161" s="2">
        <v>30987</v>
      </c>
      <c r="K161">
        <f t="shared" si="10"/>
        <v>315</v>
      </c>
      <c r="L161" s="11">
        <f t="shared" si="11"/>
        <v>3.0335301900797113E-2</v>
      </c>
      <c r="M161" t="str">
        <f>VLOOKUP(B161,Posts!B:O,14,FALSE)</f>
        <v>FSDUpdate</v>
      </c>
    </row>
    <row r="162" spans="1:13" ht="15.75" customHeight="1">
      <c r="A162" s="5">
        <v>45726</v>
      </c>
      <c r="B162" s="2" t="s">
        <v>28</v>
      </c>
      <c r="C162" s="2">
        <v>393</v>
      </c>
      <c r="D162" s="2">
        <v>181</v>
      </c>
      <c r="E162" s="2">
        <v>462142</v>
      </c>
      <c r="F162" s="19">
        <f t="shared" si="8"/>
        <v>4.5873346287504703E-2</v>
      </c>
      <c r="G162" s="2">
        <v>7.23</v>
      </c>
      <c r="H162" s="5">
        <v>45726</v>
      </c>
      <c r="I162" s="2">
        <f t="shared" si="9"/>
        <v>723</v>
      </c>
      <c r="J162" s="2">
        <v>6296</v>
      </c>
      <c r="K162">
        <f t="shared" si="10"/>
        <v>212</v>
      </c>
      <c r="L162" s="11">
        <f t="shared" si="11"/>
        <v>0.11483481575603557</v>
      </c>
      <c r="M162" t="str">
        <f>VLOOKUP(B162,Posts!B:O,14,FALSE)</f>
        <v>SustainabilityDrive</v>
      </c>
    </row>
    <row r="163" spans="1:13" ht="15.75" customHeight="1">
      <c r="A163" s="5">
        <v>45726</v>
      </c>
      <c r="B163" s="2" t="s">
        <v>36</v>
      </c>
      <c r="C163" s="2">
        <v>1098</v>
      </c>
      <c r="D163" s="2">
        <v>190</v>
      </c>
      <c r="E163" s="2">
        <v>340842</v>
      </c>
      <c r="F163" s="19">
        <f t="shared" si="8"/>
        <v>0.26639909400836753</v>
      </c>
      <c r="G163" s="2">
        <v>9.39</v>
      </c>
      <c r="H163" s="5">
        <v>45726</v>
      </c>
      <c r="I163" s="2">
        <f t="shared" si="9"/>
        <v>939</v>
      </c>
      <c r="J163" s="2">
        <v>21539</v>
      </c>
      <c r="K163">
        <f t="shared" si="10"/>
        <v>908</v>
      </c>
      <c r="L163" s="11">
        <f t="shared" si="11"/>
        <v>4.3595338687961373E-2</v>
      </c>
      <c r="M163" t="str">
        <f>VLOOKUP(B163,Posts!B:O,14,FALSE)</f>
        <v>ModelYCampaign</v>
      </c>
    </row>
    <row r="164" spans="1:13" ht="15.75" customHeight="1">
      <c r="A164" s="5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19">
        <f t="shared" si="8"/>
        <v>10.825114265095021</v>
      </c>
      <c r="G164" s="2">
        <v>5.12</v>
      </c>
      <c r="H164" s="5">
        <v>45726</v>
      </c>
      <c r="I164" s="2">
        <f t="shared" si="9"/>
        <v>512</v>
      </c>
      <c r="J164" s="2">
        <v>14722</v>
      </c>
      <c r="K164">
        <f t="shared" si="10"/>
        <v>1350</v>
      </c>
      <c r="L164" s="11">
        <f t="shared" si="11"/>
        <v>3.4777883439750037E-2</v>
      </c>
      <c r="M164" t="str">
        <f>VLOOKUP(B164,Posts!B:O,14,FALSE)</f>
        <v>CybertruckLaunch</v>
      </c>
    </row>
    <row r="165" spans="1:13" ht="15.75" customHeight="1">
      <c r="A165" s="5">
        <v>45726</v>
      </c>
      <c r="B165" s="2" t="s">
        <v>23</v>
      </c>
      <c r="C165" s="2">
        <v>1658</v>
      </c>
      <c r="D165" s="2">
        <v>416</v>
      </c>
      <c r="E165" s="2">
        <v>98397</v>
      </c>
      <c r="F165" s="19">
        <f t="shared" si="8"/>
        <v>1.2622336046830696</v>
      </c>
      <c r="G165" s="2">
        <v>6.11</v>
      </c>
      <c r="H165" s="5">
        <v>45726</v>
      </c>
      <c r="I165" s="2">
        <f t="shared" si="9"/>
        <v>611</v>
      </c>
      <c r="J165" s="2">
        <v>11383</v>
      </c>
      <c r="K165">
        <f t="shared" si="10"/>
        <v>1242</v>
      </c>
      <c r="L165" s="11">
        <f t="shared" si="11"/>
        <v>5.3676535184046394E-2</v>
      </c>
      <c r="M165" t="str">
        <f>VLOOKUP(B165,Posts!B:O,14,FALSE)</f>
        <v>FSDUpdate</v>
      </c>
    </row>
    <row r="166" spans="1:13" ht="15.75" customHeight="1">
      <c r="A166" s="5">
        <v>45733</v>
      </c>
      <c r="B166" s="2" t="s">
        <v>28</v>
      </c>
      <c r="C166" s="2">
        <v>1102</v>
      </c>
      <c r="D166" s="2">
        <v>422</v>
      </c>
      <c r="E166" s="2">
        <v>410330</v>
      </c>
      <c r="F166" s="19">
        <f t="shared" si="8"/>
        <v>0.16572027392586453</v>
      </c>
      <c r="G166" s="2">
        <v>7.74</v>
      </c>
      <c r="H166" s="5">
        <v>45733</v>
      </c>
      <c r="I166" s="2">
        <f t="shared" si="9"/>
        <v>774</v>
      </c>
      <c r="J166" s="2">
        <v>9480</v>
      </c>
      <c r="K166">
        <f t="shared" si="10"/>
        <v>680</v>
      </c>
      <c r="L166" s="11">
        <f t="shared" si="11"/>
        <v>8.1645569620253169E-2</v>
      </c>
      <c r="M166" t="str">
        <f>VLOOKUP(B166,Posts!B:O,14,FALSE)</f>
        <v>SustainabilityDrive</v>
      </c>
    </row>
    <row r="167" spans="1:13" ht="15.75" customHeight="1">
      <c r="A167" s="5">
        <v>45733</v>
      </c>
      <c r="B167" s="2" t="s">
        <v>36</v>
      </c>
      <c r="C167" s="2">
        <v>1358</v>
      </c>
      <c r="D167" s="2">
        <v>242</v>
      </c>
      <c r="E167" s="2">
        <v>342129</v>
      </c>
      <c r="F167" s="19">
        <f t="shared" si="8"/>
        <v>0.32619275185675578</v>
      </c>
      <c r="G167" s="2">
        <v>4.9400000000000004</v>
      </c>
      <c r="H167" s="5">
        <v>45733</v>
      </c>
      <c r="I167" s="2">
        <f t="shared" si="9"/>
        <v>494.00000000000006</v>
      </c>
      <c r="J167" s="2">
        <v>29116</v>
      </c>
      <c r="K167">
        <f t="shared" si="10"/>
        <v>1116</v>
      </c>
      <c r="L167" s="11">
        <f t="shared" si="11"/>
        <v>1.6966616293446903E-2</v>
      </c>
      <c r="M167" t="str">
        <f>VLOOKUP(B167,Posts!B:O,14,FALSE)</f>
        <v>ModelYCampaign</v>
      </c>
    </row>
    <row r="168" spans="1:13" ht="15.75" customHeight="1">
      <c r="A168" s="5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19">
        <f t="shared" si="8"/>
        <v>6.9173294769824052</v>
      </c>
      <c r="G168" s="2">
        <v>1.8</v>
      </c>
      <c r="H168" s="5">
        <v>45733</v>
      </c>
      <c r="I168" s="2">
        <f t="shared" si="9"/>
        <v>180</v>
      </c>
      <c r="J168" s="2">
        <v>14068</v>
      </c>
      <c r="K168">
        <f t="shared" si="10"/>
        <v>861</v>
      </c>
      <c r="L168" s="11">
        <f t="shared" si="11"/>
        <v>1.2794995735001421E-2</v>
      </c>
      <c r="M168" t="str">
        <f>VLOOKUP(B168,Posts!B:O,14,FALSE)</f>
        <v>CybertruckLaunch</v>
      </c>
    </row>
    <row r="169" spans="1:13" ht="15.75" customHeight="1">
      <c r="A169" s="5">
        <v>45733</v>
      </c>
      <c r="B169" s="2" t="s">
        <v>23</v>
      </c>
      <c r="C169" s="2">
        <v>1596</v>
      </c>
      <c r="D169" s="2">
        <v>211</v>
      </c>
      <c r="E169" s="2">
        <v>17380</v>
      </c>
      <c r="F169" s="19">
        <f t="shared" si="8"/>
        <v>7.9689298043728432</v>
      </c>
      <c r="G169" s="2">
        <v>8.64</v>
      </c>
      <c r="H169" s="5">
        <v>45733</v>
      </c>
      <c r="I169" s="2">
        <f t="shared" si="9"/>
        <v>864</v>
      </c>
      <c r="J169" s="2">
        <v>35801</v>
      </c>
      <c r="K169">
        <f t="shared" si="10"/>
        <v>1385</v>
      </c>
      <c r="L169" s="11">
        <f t="shared" si="11"/>
        <v>2.4133404094857685E-2</v>
      </c>
      <c r="M169" t="str">
        <f>VLOOKUP(B169,Posts!B:O,14,FALSE)</f>
        <v>FSDUpdate</v>
      </c>
    </row>
    <row r="170" spans="1:13" ht="15.75" customHeight="1">
      <c r="A170" s="5">
        <v>45740</v>
      </c>
      <c r="B170" s="2" t="s">
        <v>28</v>
      </c>
      <c r="C170" s="2">
        <v>490</v>
      </c>
      <c r="D170" s="2">
        <v>29</v>
      </c>
      <c r="E170" s="2">
        <v>364810</v>
      </c>
      <c r="F170" s="19">
        <f t="shared" si="8"/>
        <v>0.12636715002329982</v>
      </c>
      <c r="G170" s="2">
        <v>1.53</v>
      </c>
      <c r="H170" s="5">
        <v>45740</v>
      </c>
      <c r="I170" s="2">
        <f t="shared" si="9"/>
        <v>153</v>
      </c>
      <c r="J170" s="2">
        <v>49077</v>
      </c>
      <c r="K170">
        <f t="shared" si="10"/>
        <v>461</v>
      </c>
      <c r="L170" s="11">
        <f t="shared" si="11"/>
        <v>3.117549972492206E-3</v>
      </c>
      <c r="M170" t="str">
        <f>VLOOKUP(B170,Posts!B:O,14,FALSE)</f>
        <v>SustainabilityDrive</v>
      </c>
    </row>
    <row r="171" spans="1:13" ht="15.75" customHeight="1">
      <c r="A171" s="5">
        <v>45740</v>
      </c>
      <c r="B171" s="2" t="s">
        <v>36</v>
      </c>
      <c r="C171" s="2">
        <v>609</v>
      </c>
      <c r="D171" s="2">
        <v>135</v>
      </c>
      <c r="E171" s="2">
        <v>373606</v>
      </c>
      <c r="F171" s="19">
        <f t="shared" si="8"/>
        <v>0.1268716241173857</v>
      </c>
      <c r="G171" s="2">
        <v>8.52</v>
      </c>
      <c r="H171" s="5">
        <v>45740</v>
      </c>
      <c r="I171" s="2">
        <f t="shared" si="9"/>
        <v>852</v>
      </c>
      <c r="J171" s="2">
        <v>21453</v>
      </c>
      <c r="K171">
        <f t="shared" si="10"/>
        <v>474</v>
      </c>
      <c r="L171" s="11">
        <f t="shared" si="11"/>
        <v>3.9714725213256891E-2</v>
      </c>
      <c r="M171" t="str">
        <f>VLOOKUP(B171,Posts!B:O,14,FALSE)</f>
        <v>ModelYCampaign</v>
      </c>
    </row>
    <row r="172" spans="1:13" ht="15.75" customHeight="1">
      <c r="A172" s="5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19">
        <f t="shared" si="8"/>
        <v>0.13832962243592781</v>
      </c>
      <c r="G172" s="2">
        <v>5.53</v>
      </c>
      <c r="H172" s="5">
        <v>45740</v>
      </c>
      <c r="I172" s="2">
        <f t="shared" si="9"/>
        <v>553</v>
      </c>
      <c r="J172" s="2">
        <v>21061</v>
      </c>
      <c r="K172">
        <f t="shared" si="10"/>
        <v>292</v>
      </c>
      <c r="L172" s="11">
        <f t="shared" si="11"/>
        <v>2.6257062817530034E-2</v>
      </c>
      <c r="M172" t="str">
        <f>VLOOKUP(B172,Posts!B:O,14,FALSE)</f>
        <v>CybertruckLaunch</v>
      </c>
    </row>
    <row r="173" spans="1:13" ht="15.75" customHeight="1">
      <c r="A173" s="5">
        <v>45740</v>
      </c>
      <c r="B173" s="2" t="s">
        <v>23</v>
      </c>
      <c r="C173" s="2">
        <v>442</v>
      </c>
      <c r="D173" s="2">
        <v>53</v>
      </c>
      <c r="E173" s="2">
        <v>441931</v>
      </c>
      <c r="F173" s="19">
        <f t="shared" si="8"/>
        <v>8.8022790888170319E-2</v>
      </c>
      <c r="G173" s="2">
        <v>1.87</v>
      </c>
      <c r="H173" s="5">
        <v>45740</v>
      </c>
      <c r="I173" s="2">
        <f t="shared" si="9"/>
        <v>187</v>
      </c>
      <c r="J173" s="2">
        <v>20059</v>
      </c>
      <c r="K173">
        <f t="shared" si="10"/>
        <v>389</v>
      </c>
      <c r="L173" s="11">
        <f t="shared" si="11"/>
        <v>9.3224986290443203E-3</v>
      </c>
      <c r="M173" t="str">
        <f>VLOOKUP(B173,Posts!B:O,14,FALSE)</f>
        <v>FSDUpdate</v>
      </c>
    </row>
    <row r="174" spans="1:13" ht="15.75" customHeight="1">
      <c r="A174" s="5">
        <v>45747</v>
      </c>
      <c r="B174" s="2" t="s">
        <v>28</v>
      </c>
      <c r="C174" s="2">
        <v>1033</v>
      </c>
      <c r="D174" s="2">
        <v>392</v>
      </c>
      <c r="E174" s="2">
        <v>282780</v>
      </c>
      <c r="F174" s="19">
        <f t="shared" si="8"/>
        <v>0.22667798288422092</v>
      </c>
      <c r="G174" s="2">
        <v>6.27</v>
      </c>
      <c r="H174" s="5">
        <v>45747</v>
      </c>
      <c r="I174" s="2">
        <f t="shared" si="9"/>
        <v>627</v>
      </c>
      <c r="J174" s="2">
        <v>23140</v>
      </c>
      <c r="K174">
        <f t="shared" si="10"/>
        <v>641</v>
      </c>
      <c r="L174" s="11">
        <f t="shared" si="11"/>
        <v>2.7095937770095075E-2</v>
      </c>
      <c r="M174" t="str">
        <f>VLOOKUP(B174,Posts!B:O,14,FALSE)</f>
        <v>SustainabilityDrive</v>
      </c>
    </row>
    <row r="175" spans="1:13" ht="15.75" customHeight="1">
      <c r="A175" s="5">
        <v>45747</v>
      </c>
      <c r="B175" s="2" t="s">
        <v>36</v>
      </c>
      <c r="C175" s="2">
        <v>988</v>
      </c>
      <c r="D175" s="2">
        <v>474</v>
      </c>
      <c r="E175" s="2">
        <v>370070</v>
      </c>
      <c r="F175" s="19">
        <f t="shared" si="8"/>
        <v>0.13889264193260734</v>
      </c>
      <c r="G175" s="2">
        <v>9.4600000000000009</v>
      </c>
      <c r="H175" s="5">
        <v>45747</v>
      </c>
      <c r="I175" s="2">
        <f t="shared" si="9"/>
        <v>946.00000000000011</v>
      </c>
      <c r="J175" s="2">
        <v>23461</v>
      </c>
      <c r="K175">
        <f t="shared" si="10"/>
        <v>514</v>
      </c>
      <c r="L175" s="11">
        <f t="shared" si="11"/>
        <v>4.0322236903797798E-2</v>
      </c>
      <c r="M175" t="str">
        <f>VLOOKUP(B175,Posts!B:O,14,FALSE)</f>
        <v>ModelYCampaign</v>
      </c>
    </row>
    <row r="176" spans="1:13" ht="15.75" customHeight="1">
      <c r="A176" s="5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19">
        <f t="shared" si="8"/>
        <v>0.84497101083942527</v>
      </c>
      <c r="G176" s="2">
        <v>7.5</v>
      </c>
      <c r="H176" s="5">
        <v>45747</v>
      </c>
      <c r="I176" s="2">
        <f t="shared" si="9"/>
        <v>750</v>
      </c>
      <c r="J176" s="2">
        <v>11805</v>
      </c>
      <c r="K176">
        <f t="shared" si="10"/>
        <v>1676</v>
      </c>
      <c r="L176" s="11">
        <f t="shared" si="11"/>
        <v>6.353240152477764E-2</v>
      </c>
      <c r="M176" t="str">
        <f>VLOOKUP(B176,Posts!B:O,14,FALSE)</f>
        <v>CybertruckLaunch</v>
      </c>
    </row>
    <row r="177" spans="1:13" ht="15.75" customHeight="1">
      <c r="A177" s="5">
        <v>45747</v>
      </c>
      <c r="B177" s="2" t="s">
        <v>23</v>
      </c>
      <c r="C177" s="2">
        <v>1957</v>
      </c>
      <c r="D177" s="2">
        <v>490</v>
      </c>
      <c r="E177" s="2">
        <v>435726</v>
      </c>
      <c r="F177" s="19">
        <f t="shared" si="8"/>
        <v>0.33667947287974553</v>
      </c>
      <c r="G177" s="2">
        <v>4.7300000000000004</v>
      </c>
      <c r="H177" s="5">
        <v>45747</v>
      </c>
      <c r="I177" s="2">
        <f t="shared" si="9"/>
        <v>473.00000000000006</v>
      </c>
      <c r="J177" s="2">
        <v>15969</v>
      </c>
      <c r="K177">
        <f t="shared" si="10"/>
        <v>1467</v>
      </c>
      <c r="L177" s="11">
        <f t="shared" si="11"/>
        <v>2.9619888534034695E-2</v>
      </c>
      <c r="M177" t="str">
        <f>VLOOKUP(B177,Posts!B:O,14,FALSE)</f>
        <v>FSDUpdate</v>
      </c>
    </row>
    <row r="178" spans="1:13" ht="15.75" customHeight="1">
      <c r="A178" s="5">
        <v>45754</v>
      </c>
      <c r="B178" s="2" t="s">
        <v>28</v>
      </c>
      <c r="C178" s="2">
        <v>559</v>
      </c>
      <c r="D178" s="2">
        <v>392</v>
      </c>
      <c r="E178" s="2">
        <v>78789</v>
      </c>
      <c r="F178" s="19">
        <f t="shared" si="8"/>
        <v>0.21195852212872357</v>
      </c>
      <c r="G178" s="2">
        <v>3.19</v>
      </c>
      <c r="H178" s="5">
        <v>45754</v>
      </c>
      <c r="I178" s="2">
        <f t="shared" si="9"/>
        <v>319</v>
      </c>
      <c r="J178" s="2">
        <v>2436</v>
      </c>
      <c r="K178">
        <f t="shared" si="10"/>
        <v>167</v>
      </c>
      <c r="L178" s="11">
        <f t="shared" si="11"/>
        <v>0.13095238095238096</v>
      </c>
      <c r="M178" t="str">
        <f>VLOOKUP(B178,Posts!B:O,14,FALSE)</f>
        <v>SustainabilityDrive</v>
      </c>
    </row>
    <row r="179" spans="1:13" ht="15.75" customHeight="1">
      <c r="A179" s="5">
        <v>45754</v>
      </c>
      <c r="B179" s="2" t="s">
        <v>36</v>
      </c>
      <c r="C179" s="2">
        <v>1307</v>
      </c>
      <c r="D179" s="2">
        <v>278</v>
      </c>
      <c r="E179" s="2">
        <v>98596</v>
      </c>
      <c r="F179" s="19">
        <f t="shared" si="8"/>
        <v>1.0436528865268369</v>
      </c>
      <c r="G179" s="2">
        <v>2.4900000000000002</v>
      </c>
      <c r="H179" s="5">
        <v>45754</v>
      </c>
      <c r="I179" s="2">
        <f t="shared" si="9"/>
        <v>249.00000000000003</v>
      </c>
      <c r="J179" s="2">
        <v>47603</v>
      </c>
      <c r="K179">
        <f t="shared" si="10"/>
        <v>1029</v>
      </c>
      <c r="L179" s="11">
        <f t="shared" si="11"/>
        <v>5.230762767052497E-3</v>
      </c>
      <c r="M179" t="str">
        <f>VLOOKUP(B179,Posts!B:O,14,FALSE)</f>
        <v>ModelYCampaign</v>
      </c>
    </row>
    <row r="180" spans="1:13" ht="15.75" customHeight="1">
      <c r="A180" s="5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19">
        <f t="shared" si="8"/>
        <v>3.4032917638311533</v>
      </c>
      <c r="G180" s="2">
        <v>4.5</v>
      </c>
      <c r="H180" s="5">
        <v>45754</v>
      </c>
      <c r="I180" s="2">
        <f t="shared" si="9"/>
        <v>450</v>
      </c>
      <c r="J180" s="2">
        <v>42964</v>
      </c>
      <c r="K180">
        <f t="shared" si="10"/>
        <v>1007</v>
      </c>
      <c r="L180" s="11">
        <f t="shared" si="11"/>
        <v>1.0473885113117958E-2</v>
      </c>
      <c r="M180" t="str">
        <f>VLOOKUP(B180,Posts!B:O,14,FALSE)</f>
        <v>CybertruckLaunch</v>
      </c>
    </row>
    <row r="181" spans="1:13" ht="15.75" customHeight="1">
      <c r="A181" s="5">
        <v>45754</v>
      </c>
      <c r="B181" s="2" t="s">
        <v>23</v>
      </c>
      <c r="C181" s="2">
        <v>623</v>
      </c>
      <c r="D181" s="2">
        <v>414</v>
      </c>
      <c r="E181" s="2">
        <v>290354</v>
      </c>
      <c r="F181" s="19">
        <f t="shared" si="8"/>
        <v>7.1981098934404214E-2</v>
      </c>
      <c r="G181" s="2">
        <v>6.49</v>
      </c>
      <c r="H181" s="5">
        <v>45754</v>
      </c>
      <c r="I181" s="2">
        <f t="shared" si="9"/>
        <v>649</v>
      </c>
      <c r="J181" s="2">
        <v>39923</v>
      </c>
      <c r="K181">
        <f t="shared" si="10"/>
        <v>209</v>
      </c>
      <c r="L181" s="11">
        <f t="shared" si="11"/>
        <v>1.6256293364727101E-2</v>
      </c>
      <c r="M181" t="str">
        <f>VLOOKUP(B181,Posts!B:O,14,FALSE)</f>
        <v>FSDUpdate</v>
      </c>
    </row>
    <row r="182" spans="1:13" ht="15.75" customHeight="1">
      <c r="A182" s="5">
        <v>45761</v>
      </c>
      <c r="B182" s="2" t="s">
        <v>28</v>
      </c>
      <c r="C182" s="2">
        <v>198</v>
      </c>
      <c r="D182" s="2">
        <v>358</v>
      </c>
      <c r="E182" s="2">
        <v>66682</v>
      </c>
      <c r="F182" s="19">
        <f t="shared" si="8"/>
        <v>-0.2399448126930806</v>
      </c>
      <c r="G182" s="2">
        <v>6.73</v>
      </c>
      <c r="H182" s="5">
        <v>45761</v>
      </c>
      <c r="I182" s="2">
        <f t="shared" si="9"/>
        <v>673</v>
      </c>
      <c r="J182" s="2">
        <v>2293</v>
      </c>
      <c r="K182">
        <f t="shared" si="10"/>
        <v>-160</v>
      </c>
      <c r="L182" s="11">
        <f t="shared" si="11"/>
        <v>0.29350196249454863</v>
      </c>
      <c r="M182" t="str">
        <f>VLOOKUP(B182,Posts!B:O,14,FALSE)</f>
        <v>SustainabilityDrive</v>
      </c>
    </row>
    <row r="183" spans="1:13" ht="15.75" customHeight="1">
      <c r="A183" s="5">
        <v>45761</v>
      </c>
      <c r="B183" s="2" t="s">
        <v>36</v>
      </c>
      <c r="C183" s="2">
        <v>198</v>
      </c>
      <c r="D183" s="2">
        <v>373</v>
      </c>
      <c r="E183" s="2">
        <v>70707</v>
      </c>
      <c r="F183" s="19">
        <f t="shared" si="8"/>
        <v>-0.24750024750024749</v>
      </c>
      <c r="G183" s="2">
        <v>4.83</v>
      </c>
      <c r="H183" s="5">
        <v>45761</v>
      </c>
      <c r="I183" s="2">
        <f t="shared" si="9"/>
        <v>483</v>
      </c>
      <c r="J183" s="2">
        <v>25920</v>
      </c>
      <c r="K183">
        <f t="shared" si="10"/>
        <v>-175</v>
      </c>
      <c r="L183" s="11">
        <f t="shared" si="11"/>
        <v>1.863425925925926E-2</v>
      </c>
      <c r="M183" t="str">
        <f>VLOOKUP(B183,Posts!B:O,14,FALSE)</f>
        <v>ModelYCampaign</v>
      </c>
    </row>
    <row r="184" spans="1:13" ht="15.75" customHeight="1">
      <c r="A184" s="5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19">
        <f t="shared" si="8"/>
        <v>3.7191155522184875E-2</v>
      </c>
      <c r="G184" s="2">
        <v>5.3</v>
      </c>
      <c r="H184" s="5">
        <v>45761</v>
      </c>
      <c r="I184" s="2">
        <f t="shared" si="9"/>
        <v>530</v>
      </c>
      <c r="J184" s="2">
        <v>11035</v>
      </c>
      <c r="K184">
        <f t="shared" si="10"/>
        <v>53</v>
      </c>
      <c r="L184" s="11">
        <f t="shared" si="11"/>
        <v>4.8028998640688714E-2</v>
      </c>
      <c r="M184" t="str">
        <f>VLOOKUP(B184,Posts!B:O,14,FALSE)</f>
        <v>CybertruckLaunch</v>
      </c>
    </row>
    <row r="185" spans="1:13" ht="15.75" customHeight="1">
      <c r="A185" s="5">
        <v>45761</v>
      </c>
      <c r="B185" s="2" t="s">
        <v>23</v>
      </c>
      <c r="C185" s="2">
        <v>520</v>
      </c>
      <c r="D185" s="2">
        <v>375</v>
      </c>
      <c r="E185" s="2">
        <v>369525</v>
      </c>
      <c r="F185" s="19">
        <f t="shared" si="8"/>
        <v>3.9239564305527365E-2</v>
      </c>
      <c r="G185" s="2">
        <v>6.54</v>
      </c>
      <c r="H185" s="5">
        <v>45761</v>
      </c>
      <c r="I185" s="2">
        <f t="shared" si="9"/>
        <v>654</v>
      </c>
      <c r="J185" s="2">
        <v>20733</v>
      </c>
      <c r="K185">
        <f t="shared" si="10"/>
        <v>145</v>
      </c>
      <c r="L185" s="11">
        <f t="shared" si="11"/>
        <v>3.1543915497033718E-2</v>
      </c>
      <c r="M185" t="str">
        <f>VLOOKUP(B185,Posts!B:O,14,FALSE)</f>
        <v>FSDUpdate</v>
      </c>
    </row>
    <row r="186" spans="1:13" ht="15.75" customHeight="1">
      <c r="A186" s="5">
        <v>45768</v>
      </c>
      <c r="B186" s="2" t="s">
        <v>28</v>
      </c>
      <c r="C186" s="2">
        <v>961</v>
      </c>
      <c r="D186" s="2">
        <v>358</v>
      </c>
      <c r="E186" s="2">
        <v>62942</v>
      </c>
      <c r="F186" s="19">
        <f t="shared" si="8"/>
        <v>0.95802484827301337</v>
      </c>
      <c r="G186" s="2">
        <v>6.8</v>
      </c>
      <c r="H186" s="5">
        <v>45768</v>
      </c>
      <c r="I186" s="2">
        <f t="shared" si="9"/>
        <v>680</v>
      </c>
      <c r="J186" s="2">
        <v>18693</v>
      </c>
      <c r="K186">
        <f t="shared" si="10"/>
        <v>603</v>
      </c>
      <c r="L186" s="11">
        <f t="shared" si="11"/>
        <v>3.6377253517359438E-2</v>
      </c>
      <c r="M186" t="str">
        <f>VLOOKUP(B186,Posts!B:O,14,FALSE)</f>
        <v>SustainabilityDrive</v>
      </c>
    </row>
    <row r="187" spans="1:13" ht="15.75" customHeight="1">
      <c r="A187" s="5">
        <v>45768</v>
      </c>
      <c r="B187" s="2" t="s">
        <v>36</v>
      </c>
      <c r="C187" s="2">
        <v>1375</v>
      </c>
      <c r="D187" s="2">
        <v>330</v>
      </c>
      <c r="E187" s="2">
        <v>377382</v>
      </c>
      <c r="F187" s="19">
        <f t="shared" si="8"/>
        <v>0.27690774864725926</v>
      </c>
      <c r="G187" s="2">
        <v>2.6</v>
      </c>
      <c r="H187" s="5">
        <v>45768</v>
      </c>
      <c r="I187" s="2">
        <f t="shared" si="9"/>
        <v>260</v>
      </c>
      <c r="J187" s="2">
        <v>7875</v>
      </c>
      <c r="K187">
        <f t="shared" si="10"/>
        <v>1045</v>
      </c>
      <c r="L187" s="11">
        <f t="shared" si="11"/>
        <v>3.3015873015873019E-2</v>
      </c>
      <c r="M187" t="str">
        <f>VLOOKUP(B187,Posts!B:O,14,FALSE)</f>
        <v>ModelYCampaign</v>
      </c>
    </row>
    <row r="188" spans="1:13" ht="15.75" customHeight="1">
      <c r="A188" s="5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19">
        <f t="shared" si="8"/>
        <v>0.22734693021737243</v>
      </c>
      <c r="G188" s="2">
        <v>2.44</v>
      </c>
      <c r="H188" s="5">
        <v>45768</v>
      </c>
      <c r="I188" s="2">
        <f t="shared" si="9"/>
        <v>244</v>
      </c>
      <c r="J188" s="2">
        <v>8471</v>
      </c>
      <c r="K188">
        <f t="shared" si="10"/>
        <v>759</v>
      </c>
      <c r="L188" s="11">
        <f t="shared" si="11"/>
        <v>2.8804155353559204E-2</v>
      </c>
      <c r="M188" t="str">
        <f>VLOOKUP(B188,Posts!B:O,14,FALSE)</f>
        <v>CybertruckLaunch</v>
      </c>
    </row>
    <row r="189" spans="1:13" ht="15.75" customHeight="1">
      <c r="A189" s="5">
        <v>45768</v>
      </c>
      <c r="B189" s="2" t="s">
        <v>23</v>
      </c>
      <c r="C189" s="2">
        <v>1707</v>
      </c>
      <c r="D189" s="2">
        <v>74</v>
      </c>
      <c r="E189" s="2">
        <v>270958</v>
      </c>
      <c r="F189" s="19">
        <f t="shared" si="8"/>
        <v>0.60267642955734835</v>
      </c>
      <c r="G189" s="2">
        <v>3.09</v>
      </c>
      <c r="H189" s="5">
        <v>45768</v>
      </c>
      <c r="I189" s="2">
        <f t="shared" si="9"/>
        <v>309</v>
      </c>
      <c r="J189" s="2">
        <v>14090</v>
      </c>
      <c r="K189">
        <f t="shared" si="10"/>
        <v>1633</v>
      </c>
      <c r="L189" s="11">
        <f t="shared" si="11"/>
        <v>2.1930447125621009E-2</v>
      </c>
      <c r="M189" t="str">
        <f>VLOOKUP(B189,Posts!B:O,14,FALSE)</f>
        <v>FSDUpdate</v>
      </c>
    </row>
    <row r="190" spans="1:13" ht="15.75" customHeight="1">
      <c r="A190" s="5">
        <v>45775</v>
      </c>
      <c r="B190" s="2" t="s">
        <v>28</v>
      </c>
      <c r="C190" s="2">
        <v>1693</v>
      </c>
      <c r="D190" s="2">
        <v>154</v>
      </c>
      <c r="E190" s="2">
        <v>445944</v>
      </c>
      <c r="F190" s="19">
        <f t="shared" si="8"/>
        <v>0.34511059684624079</v>
      </c>
      <c r="G190" s="2">
        <v>5.69</v>
      </c>
      <c r="H190" s="5">
        <v>45775</v>
      </c>
      <c r="I190" s="2">
        <f t="shared" si="9"/>
        <v>569</v>
      </c>
      <c r="J190" s="2">
        <v>14216</v>
      </c>
      <c r="K190">
        <f t="shared" si="10"/>
        <v>1539</v>
      </c>
      <c r="L190" s="11">
        <f t="shared" si="11"/>
        <v>4.0025323579065838E-2</v>
      </c>
      <c r="M190" t="str">
        <f>VLOOKUP(B190,Posts!B:O,14,FALSE)</f>
        <v>SustainabilityDrive</v>
      </c>
    </row>
    <row r="191" spans="1:13" ht="15.75" customHeight="1">
      <c r="A191" s="5">
        <v>45775</v>
      </c>
      <c r="B191" s="2" t="s">
        <v>36</v>
      </c>
      <c r="C191" s="2">
        <v>833</v>
      </c>
      <c r="D191" s="2">
        <v>380</v>
      </c>
      <c r="E191" s="2">
        <v>224830</v>
      </c>
      <c r="F191" s="19">
        <f t="shared" si="8"/>
        <v>0.2014855668727483</v>
      </c>
      <c r="G191" s="2">
        <v>3.86</v>
      </c>
      <c r="H191" s="5">
        <v>45775</v>
      </c>
      <c r="I191" s="2">
        <f t="shared" si="9"/>
        <v>386</v>
      </c>
      <c r="J191" s="2">
        <v>3582</v>
      </c>
      <c r="K191">
        <f t="shared" si="10"/>
        <v>453</v>
      </c>
      <c r="L191" s="11">
        <f t="shared" si="11"/>
        <v>0.1077610273590173</v>
      </c>
      <c r="M191" t="str">
        <f>VLOOKUP(B191,Posts!B:O,14,FALSE)</f>
        <v>ModelYCampaign</v>
      </c>
    </row>
    <row r="192" spans="1:13" ht="15.75" customHeight="1">
      <c r="A192" s="5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19">
        <f t="shared" si="8"/>
        <v>0.19454574184929271</v>
      </c>
      <c r="G192" s="2">
        <v>3.16</v>
      </c>
      <c r="H192" s="5">
        <v>45775</v>
      </c>
      <c r="I192" s="2">
        <f t="shared" si="9"/>
        <v>316</v>
      </c>
      <c r="J192" s="2">
        <v>32500</v>
      </c>
      <c r="K192">
        <f t="shared" si="10"/>
        <v>948</v>
      </c>
      <c r="L192" s="11">
        <f t="shared" si="11"/>
        <v>9.7230769230769246E-3</v>
      </c>
      <c r="M192" t="str">
        <f>VLOOKUP(B192,Posts!B:O,14,FALSE)</f>
        <v>CybertruckLaunch</v>
      </c>
    </row>
    <row r="193" spans="1:13" ht="15.75" customHeight="1">
      <c r="A193" s="5">
        <v>45775</v>
      </c>
      <c r="B193" s="2" t="s">
        <v>23</v>
      </c>
      <c r="C193" s="2">
        <v>777</v>
      </c>
      <c r="D193" s="2">
        <v>140</v>
      </c>
      <c r="E193" s="2">
        <v>11435</v>
      </c>
      <c r="F193" s="19">
        <f t="shared" si="8"/>
        <v>5.5706165282028861</v>
      </c>
      <c r="G193" s="2">
        <v>1.6</v>
      </c>
      <c r="H193" s="5">
        <v>45775</v>
      </c>
      <c r="I193" s="2">
        <f t="shared" si="9"/>
        <v>160</v>
      </c>
      <c r="J193" s="2">
        <v>6832</v>
      </c>
      <c r="K193">
        <f t="shared" si="10"/>
        <v>637</v>
      </c>
      <c r="L193" s="11">
        <f t="shared" si="11"/>
        <v>2.3419203747072598E-2</v>
      </c>
      <c r="M193" t="str">
        <f>VLOOKUP(B193,Posts!B:O,14,FALSE)</f>
        <v>FSDUpdate</v>
      </c>
    </row>
    <row r="194" spans="1:13" ht="15.75" customHeight="1">
      <c r="A194" s="5">
        <v>45782</v>
      </c>
      <c r="B194" s="2" t="s">
        <v>28</v>
      </c>
      <c r="C194" s="2">
        <v>1957</v>
      </c>
      <c r="D194" s="2">
        <v>76</v>
      </c>
      <c r="E194" s="2">
        <v>447902</v>
      </c>
      <c r="F194" s="19">
        <f t="shared" si="8"/>
        <v>0.41995793722733987</v>
      </c>
      <c r="G194" s="2">
        <v>6.09</v>
      </c>
      <c r="H194" s="5">
        <v>45782</v>
      </c>
      <c r="I194" s="2">
        <f t="shared" si="9"/>
        <v>609</v>
      </c>
      <c r="J194" s="2">
        <v>33381</v>
      </c>
      <c r="K194">
        <f t="shared" si="10"/>
        <v>1881</v>
      </c>
      <c r="L194" s="11">
        <f t="shared" si="11"/>
        <v>1.8243911206974026E-2</v>
      </c>
      <c r="M194" t="str">
        <f>VLOOKUP(B194,Posts!B:O,14,FALSE)</f>
        <v>SustainabilityDrive</v>
      </c>
    </row>
    <row r="195" spans="1:13" ht="15.75" customHeight="1">
      <c r="A195" s="5">
        <v>45782</v>
      </c>
      <c r="B195" s="2" t="s">
        <v>36</v>
      </c>
      <c r="C195" s="2">
        <v>405</v>
      </c>
      <c r="D195" s="2">
        <v>66</v>
      </c>
      <c r="E195" s="2">
        <v>418696</v>
      </c>
      <c r="F195" s="19">
        <f t="shared" ref="F195:F201" si="12">((C195-D195)/E195)*100</f>
        <v>8.0965664826031306E-2</v>
      </c>
      <c r="G195" s="2">
        <v>5.59</v>
      </c>
      <c r="H195" s="5">
        <v>45782</v>
      </c>
      <c r="I195" s="2">
        <f t="shared" ref="I195:I201" si="13">G195*100</f>
        <v>559</v>
      </c>
      <c r="J195" s="2">
        <v>48419</v>
      </c>
      <c r="K195">
        <f t="shared" ref="K195:K201" si="14">(C195-D195)</f>
        <v>339</v>
      </c>
      <c r="L195" s="11">
        <f t="shared" ref="L195:L201" si="15">(G195/J195)*100</f>
        <v>1.1545054627315723E-2</v>
      </c>
      <c r="M195" t="str">
        <f>VLOOKUP(B195,Posts!B:O,14,FALSE)</f>
        <v>ModelYCampaign</v>
      </c>
    </row>
    <row r="196" spans="1:13" ht="15.75" customHeight="1">
      <c r="A196" s="5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19">
        <f t="shared" si="12"/>
        <v>0.311749015203442</v>
      </c>
      <c r="G196" s="2">
        <v>3.55</v>
      </c>
      <c r="H196" s="5">
        <v>45782</v>
      </c>
      <c r="I196" s="2">
        <f t="shared" si="13"/>
        <v>355</v>
      </c>
      <c r="J196" s="2">
        <v>16149</v>
      </c>
      <c r="K196">
        <f t="shared" si="14"/>
        <v>1510</v>
      </c>
      <c r="L196" s="11">
        <f t="shared" si="15"/>
        <v>2.198278531178401E-2</v>
      </c>
      <c r="M196" t="str">
        <f>VLOOKUP(B196,Posts!B:O,14,FALSE)</f>
        <v>CybertruckLaunch</v>
      </c>
    </row>
    <row r="197" spans="1:13" ht="15.75" customHeight="1">
      <c r="A197" s="5">
        <v>45782</v>
      </c>
      <c r="B197" s="2" t="s">
        <v>23</v>
      </c>
      <c r="C197" s="2">
        <v>1035</v>
      </c>
      <c r="D197" s="2">
        <v>171</v>
      </c>
      <c r="E197" s="2">
        <v>148477</v>
      </c>
      <c r="F197" s="19">
        <f t="shared" si="12"/>
        <v>0.58190830903102841</v>
      </c>
      <c r="G197" s="2">
        <v>5.21</v>
      </c>
      <c r="H197" s="5">
        <v>45782</v>
      </c>
      <c r="I197" s="2">
        <f t="shared" si="13"/>
        <v>521</v>
      </c>
      <c r="J197" s="2">
        <v>7541</v>
      </c>
      <c r="K197">
        <f t="shared" si="14"/>
        <v>864</v>
      </c>
      <c r="L197" s="11">
        <f t="shared" si="15"/>
        <v>6.9088980241347298E-2</v>
      </c>
      <c r="M197" t="str">
        <f>VLOOKUP(B197,Posts!B:O,14,FALSE)</f>
        <v>FSDUpdate</v>
      </c>
    </row>
    <row r="198" spans="1:13" ht="15.75" customHeight="1">
      <c r="A198" s="5">
        <v>45789</v>
      </c>
      <c r="B198" s="2" t="s">
        <v>28</v>
      </c>
      <c r="C198" s="2">
        <v>1765</v>
      </c>
      <c r="D198" s="2">
        <v>109</v>
      </c>
      <c r="E198" s="2">
        <v>468301</v>
      </c>
      <c r="F198" s="19">
        <f t="shared" si="12"/>
        <v>0.35361871958419905</v>
      </c>
      <c r="G198" s="2">
        <v>1.82</v>
      </c>
      <c r="H198" s="5">
        <v>45789</v>
      </c>
      <c r="I198" s="2">
        <f t="shared" si="13"/>
        <v>182</v>
      </c>
      <c r="J198" s="2">
        <v>20042</v>
      </c>
      <c r="K198">
        <f t="shared" si="14"/>
        <v>1656</v>
      </c>
      <c r="L198" s="11">
        <f t="shared" si="15"/>
        <v>9.0809300469015062E-3</v>
      </c>
      <c r="M198" t="str">
        <f>VLOOKUP(B198,Posts!B:O,14,FALSE)</f>
        <v>SustainabilityDrive</v>
      </c>
    </row>
    <row r="199" spans="1:13" ht="15.75" customHeight="1">
      <c r="A199" s="5">
        <v>45789</v>
      </c>
      <c r="B199" s="2" t="s">
        <v>36</v>
      </c>
      <c r="C199" s="2">
        <v>837</v>
      </c>
      <c r="D199" s="2">
        <v>430</v>
      </c>
      <c r="E199" s="2">
        <v>364820</v>
      </c>
      <c r="F199" s="19">
        <f t="shared" si="12"/>
        <v>0.11156186612576065</v>
      </c>
      <c r="G199" s="2">
        <v>4</v>
      </c>
      <c r="H199" s="5">
        <v>45789</v>
      </c>
      <c r="I199" s="2">
        <f t="shared" si="13"/>
        <v>400</v>
      </c>
      <c r="J199" s="2">
        <v>49400</v>
      </c>
      <c r="K199">
        <f t="shared" si="14"/>
        <v>407</v>
      </c>
      <c r="L199" s="11">
        <f t="shared" si="15"/>
        <v>8.0971659919028341E-3</v>
      </c>
      <c r="M199" t="str">
        <f>VLOOKUP(B199,Posts!B:O,14,FALSE)</f>
        <v>ModelYCampaign</v>
      </c>
    </row>
    <row r="200" spans="1:13" ht="15.75" customHeight="1">
      <c r="A200" s="5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19">
        <f t="shared" si="12"/>
        <v>5.8952701962314107E-2</v>
      </c>
      <c r="G200" s="2">
        <v>7.57</v>
      </c>
      <c r="H200" s="5">
        <v>45789</v>
      </c>
      <c r="I200" s="2">
        <f t="shared" si="13"/>
        <v>757</v>
      </c>
      <c r="J200" s="2">
        <v>4007</v>
      </c>
      <c r="K200">
        <f t="shared" si="14"/>
        <v>269</v>
      </c>
      <c r="L200" s="11">
        <f t="shared" si="15"/>
        <v>0.18891939106563516</v>
      </c>
      <c r="M200" t="str">
        <f>VLOOKUP(B200,Posts!B:O,14,FALSE)</f>
        <v>CybertruckLaunch</v>
      </c>
    </row>
    <row r="201" spans="1:13" ht="15.75" customHeight="1">
      <c r="A201" s="5">
        <v>45789</v>
      </c>
      <c r="B201" s="2" t="s">
        <v>23</v>
      </c>
      <c r="C201" s="2">
        <v>119</v>
      </c>
      <c r="D201" s="2">
        <v>456</v>
      </c>
      <c r="E201" s="2">
        <v>82558</v>
      </c>
      <c r="F201" s="19">
        <f t="shared" si="12"/>
        <v>-0.4081978730104896</v>
      </c>
      <c r="G201" s="2">
        <v>6.81</v>
      </c>
      <c r="H201" s="5">
        <v>45789</v>
      </c>
      <c r="I201" s="2">
        <f t="shared" si="13"/>
        <v>681</v>
      </c>
      <c r="J201" s="2">
        <v>12174</v>
      </c>
      <c r="K201">
        <f t="shared" si="14"/>
        <v>-337</v>
      </c>
      <c r="L201" s="11">
        <f t="shared" si="15"/>
        <v>5.5938886150813202E-2</v>
      </c>
      <c r="M201" t="str">
        <f>VLOOKUP(B201,Posts!B:O,14,FALSE)</f>
        <v>FSDUpdate</v>
      </c>
    </row>
    <row r="202" spans="1:13" ht="15.75" customHeight="1"/>
    <row r="203" spans="1:13" ht="15.75" customHeight="1"/>
    <row r="204" spans="1:13" ht="15.75" customHeight="1"/>
    <row r="205" spans="1:13" ht="15.75" customHeight="1"/>
    <row r="206" spans="1:13" ht="15.75" customHeight="1"/>
    <row r="207" spans="1:13" ht="15.75" customHeight="1"/>
    <row r="208" spans="1:1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1:L1048576">
    <cfRule type="top10" dxfId="86" priority="1" rank="1"/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"/>
  <sheetViews>
    <sheetView workbookViewId="0">
      <pane ySplit="1" topLeftCell="A2" activePane="bottomLeft" state="frozen"/>
      <selection pane="bottomLeft" activeCell="G15" sqref="G15"/>
    </sheetView>
  </sheetViews>
  <sheetFormatPr defaultColWidth="14.44140625" defaultRowHeight="15" customHeight="1"/>
  <cols>
    <col min="1" max="1" width="22.5546875" customWidth="1"/>
    <col min="2" max="2" width="11.77734375" style="30" customWidth="1"/>
    <col min="3" max="3" width="11.109375" style="6" customWidth="1"/>
    <col min="4" max="4" width="22.44140625" customWidth="1"/>
    <col min="5" max="5" width="14.109375" customWidth="1"/>
    <col min="6" max="6" width="27.109375" customWidth="1"/>
    <col min="7" max="7" width="34.109375" customWidth="1"/>
  </cols>
  <sheetData>
    <row r="1" spans="1:7" ht="14.4">
      <c r="A1" s="43" t="s">
        <v>12</v>
      </c>
      <c r="B1" s="44" t="s">
        <v>365</v>
      </c>
      <c r="C1" s="45" t="s">
        <v>366</v>
      </c>
      <c r="D1" s="43" t="s">
        <v>367</v>
      </c>
      <c r="E1" s="43" t="s">
        <v>368</v>
      </c>
      <c r="F1" s="43" t="s">
        <v>369</v>
      </c>
      <c r="G1" s="43" t="s">
        <v>370</v>
      </c>
    </row>
    <row r="2" spans="1:7" ht="14.4">
      <c r="A2" s="2" t="s">
        <v>17</v>
      </c>
      <c r="B2" s="31" t="s">
        <v>371</v>
      </c>
      <c r="C2" s="5" t="s">
        <v>197</v>
      </c>
      <c r="D2" s="2" t="s">
        <v>372</v>
      </c>
      <c r="E2" s="2">
        <v>150000</v>
      </c>
      <c r="F2" s="2" t="s">
        <v>373</v>
      </c>
      <c r="G2" s="2" t="s">
        <v>34</v>
      </c>
    </row>
    <row r="3" spans="1:7" ht="14.4">
      <c r="A3" s="2" t="s">
        <v>21</v>
      </c>
      <c r="B3" s="31" t="s">
        <v>374</v>
      </c>
      <c r="C3" s="5" t="s">
        <v>37</v>
      </c>
      <c r="D3" s="2" t="s">
        <v>375</v>
      </c>
      <c r="E3" s="2">
        <v>200000</v>
      </c>
      <c r="F3" s="2" t="s">
        <v>376</v>
      </c>
      <c r="G3" s="2" t="s">
        <v>377</v>
      </c>
    </row>
    <row r="4" spans="1:7" ht="14.4">
      <c r="A4" s="2" t="s">
        <v>26</v>
      </c>
      <c r="B4" s="31" t="s">
        <v>378</v>
      </c>
      <c r="C4" s="5" t="s">
        <v>145</v>
      </c>
      <c r="D4" s="2" t="s">
        <v>379</v>
      </c>
      <c r="E4" s="2">
        <v>250000</v>
      </c>
      <c r="F4" s="2" t="s">
        <v>380</v>
      </c>
      <c r="G4" s="2" t="s">
        <v>381</v>
      </c>
    </row>
    <row r="5" spans="1:7" ht="14.4">
      <c r="A5" s="2" t="s">
        <v>32</v>
      </c>
      <c r="B5" s="31" t="s">
        <v>382</v>
      </c>
      <c r="C5" s="5" t="s">
        <v>364</v>
      </c>
      <c r="D5" s="2" t="s">
        <v>383</v>
      </c>
      <c r="E5" s="2">
        <v>180000</v>
      </c>
      <c r="F5" s="2" t="s">
        <v>384</v>
      </c>
      <c r="G5" s="2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3:S13"/>
  <sheetViews>
    <sheetView topLeftCell="A2" zoomScale="70" zoomScaleNormal="70" workbookViewId="0">
      <selection activeCell="A6" sqref="A6"/>
    </sheetView>
  </sheetViews>
  <sheetFormatPr defaultRowHeight="14.4"/>
  <cols>
    <col min="1" max="1" width="13.44140625" customWidth="1"/>
    <col min="2" max="2" width="16.33203125" bestFit="1" customWidth="1"/>
    <col min="3" max="3" width="9.77734375" customWidth="1"/>
    <col min="4" max="4" width="7.44140625" customWidth="1"/>
    <col min="5" max="5" width="8.77734375" customWidth="1"/>
    <col min="6" max="6" width="7.21875" customWidth="1"/>
    <col min="7" max="7" width="13.5546875" customWidth="1"/>
    <col min="8" max="8" width="9.77734375" bestFit="1" customWidth="1"/>
    <col min="9" max="9" width="7.44140625" customWidth="1"/>
    <col min="10" max="10" width="8.77734375" customWidth="1"/>
    <col min="11" max="11" width="7.21875" customWidth="1"/>
    <col min="12" max="12" width="17.21875" customWidth="1"/>
    <col min="13" max="13" width="9.77734375" bestFit="1" customWidth="1"/>
    <col min="14" max="14" width="7.44140625" customWidth="1"/>
    <col min="15" max="15" width="8.77734375" customWidth="1"/>
    <col min="16" max="16" width="7.21875" customWidth="1"/>
    <col min="17" max="17" width="17.21875" customWidth="1"/>
    <col min="18" max="18" width="18.77734375" customWidth="1"/>
    <col min="19" max="19" width="22.44140625" customWidth="1"/>
  </cols>
  <sheetData>
    <row r="3" spans="1:19">
      <c r="B3" s="7" t="s">
        <v>391</v>
      </c>
    </row>
    <row r="4" spans="1:19">
      <c r="B4" t="s">
        <v>392</v>
      </c>
      <c r="G4" t="s">
        <v>394</v>
      </c>
      <c r="L4" t="s">
        <v>396</v>
      </c>
      <c r="Q4" t="s">
        <v>393</v>
      </c>
      <c r="R4" t="s">
        <v>395</v>
      </c>
      <c r="S4" t="s">
        <v>397</v>
      </c>
    </row>
    <row r="5" spans="1:19">
      <c r="A5" s="7" t="s">
        <v>3</v>
      </c>
      <c r="B5" t="s">
        <v>36</v>
      </c>
      <c r="C5" t="s">
        <v>28</v>
      </c>
      <c r="D5" t="s">
        <v>14</v>
      </c>
      <c r="E5" t="s">
        <v>23</v>
      </c>
      <c r="F5" t="s">
        <v>388</v>
      </c>
      <c r="G5" t="s">
        <v>36</v>
      </c>
      <c r="H5" t="s">
        <v>28</v>
      </c>
      <c r="I5" t="s">
        <v>14</v>
      </c>
      <c r="J5" t="s">
        <v>23</v>
      </c>
      <c r="K5" t="s">
        <v>388</v>
      </c>
      <c r="L5" t="s">
        <v>36</v>
      </c>
      <c r="M5" t="s">
        <v>28</v>
      </c>
      <c r="N5" t="s">
        <v>14</v>
      </c>
      <c r="O5" t="s">
        <v>23</v>
      </c>
      <c r="P5" t="s">
        <v>388</v>
      </c>
    </row>
    <row r="6" spans="1:19">
      <c r="A6" s="8" t="s">
        <v>38</v>
      </c>
      <c r="B6" s="9">
        <v>44476</v>
      </c>
      <c r="C6" s="9">
        <v>43948</v>
      </c>
      <c r="D6" s="9">
        <v>48649</v>
      </c>
      <c r="E6" s="9">
        <v>24926</v>
      </c>
      <c r="F6" s="9"/>
      <c r="G6" s="9">
        <v>7400</v>
      </c>
      <c r="H6" s="9">
        <v>6975</v>
      </c>
      <c r="I6" s="9">
        <v>5791</v>
      </c>
      <c r="J6" s="9">
        <v>6305</v>
      </c>
      <c r="K6" s="9"/>
      <c r="L6" s="9">
        <v>4589</v>
      </c>
      <c r="M6" s="9">
        <v>3890</v>
      </c>
      <c r="N6" s="9">
        <v>3607</v>
      </c>
      <c r="O6" s="9">
        <v>2422</v>
      </c>
      <c r="P6" s="9"/>
      <c r="Q6" s="9">
        <v>161999</v>
      </c>
      <c r="R6" s="9">
        <v>26471</v>
      </c>
      <c r="S6" s="9">
        <v>14508</v>
      </c>
    </row>
    <row r="7" spans="1:19">
      <c r="A7" s="8" t="s">
        <v>43</v>
      </c>
      <c r="B7" s="9">
        <v>71602</v>
      </c>
      <c r="C7" s="9">
        <v>34202</v>
      </c>
      <c r="D7" s="9">
        <v>43761</v>
      </c>
      <c r="E7" s="9">
        <v>23903</v>
      </c>
      <c r="F7" s="9"/>
      <c r="G7" s="9">
        <v>12904</v>
      </c>
      <c r="H7" s="9">
        <v>5286</v>
      </c>
      <c r="I7" s="9">
        <v>7110</v>
      </c>
      <c r="J7" s="9">
        <v>4310</v>
      </c>
      <c r="K7" s="9"/>
      <c r="L7" s="9">
        <v>6495</v>
      </c>
      <c r="M7" s="9">
        <v>2655</v>
      </c>
      <c r="N7" s="9">
        <v>5125</v>
      </c>
      <c r="O7" s="9">
        <v>2077</v>
      </c>
      <c r="P7" s="9"/>
      <c r="Q7" s="9">
        <v>173468</v>
      </c>
      <c r="R7" s="9">
        <v>29610</v>
      </c>
      <c r="S7" s="9">
        <v>16352</v>
      </c>
    </row>
    <row r="8" spans="1:19">
      <c r="A8" s="8" t="s">
        <v>15</v>
      </c>
      <c r="B8" s="9">
        <v>36368</v>
      </c>
      <c r="C8" s="9">
        <v>32148</v>
      </c>
      <c r="D8" s="9">
        <v>27029</v>
      </c>
      <c r="E8" s="9">
        <v>32400</v>
      </c>
      <c r="F8" s="9"/>
      <c r="G8" s="9">
        <v>5964</v>
      </c>
      <c r="H8" s="9">
        <v>8110</v>
      </c>
      <c r="I8" s="9">
        <v>4550</v>
      </c>
      <c r="J8" s="9">
        <v>4577</v>
      </c>
      <c r="K8" s="9"/>
      <c r="L8" s="9">
        <v>3353</v>
      </c>
      <c r="M8" s="9">
        <v>3386</v>
      </c>
      <c r="N8" s="9">
        <v>1913</v>
      </c>
      <c r="O8" s="9">
        <v>2668</v>
      </c>
      <c r="P8" s="9"/>
      <c r="Q8" s="9">
        <v>127945</v>
      </c>
      <c r="R8" s="9">
        <v>23201</v>
      </c>
      <c r="S8" s="9">
        <v>11320</v>
      </c>
    </row>
    <row r="9" spans="1:19">
      <c r="A9" s="8" t="s">
        <v>29</v>
      </c>
      <c r="B9" s="9">
        <v>29405</v>
      </c>
      <c r="C9" s="9">
        <v>42649</v>
      </c>
      <c r="D9" s="9">
        <v>20466</v>
      </c>
      <c r="E9" s="9">
        <v>31968</v>
      </c>
      <c r="F9" s="9"/>
      <c r="G9" s="9">
        <v>4950</v>
      </c>
      <c r="H9" s="9">
        <v>10049</v>
      </c>
      <c r="I9" s="9">
        <v>5090</v>
      </c>
      <c r="J9" s="9">
        <v>3866</v>
      </c>
      <c r="K9" s="9"/>
      <c r="L9" s="9">
        <v>3223</v>
      </c>
      <c r="M9" s="9">
        <v>3846</v>
      </c>
      <c r="N9" s="9">
        <v>3026</v>
      </c>
      <c r="O9" s="9">
        <v>2012</v>
      </c>
      <c r="P9" s="9"/>
      <c r="Q9" s="9">
        <v>124488</v>
      </c>
      <c r="R9" s="9">
        <v>23955</v>
      </c>
      <c r="S9" s="9">
        <v>12107</v>
      </c>
    </row>
    <row r="10" spans="1:19">
      <c r="A10" s="8" t="s">
        <v>19</v>
      </c>
      <c r="B10" s="9">
        <v>31963</v>
      </c>
      <c r="C10" s="9">
        <v>25567</v>
      </c>
      <c r="D10" s="9">
        <v>31899</v>
      </c>
      <c r="E10" s="9">
        <v>27067</v>
      </c>
      <c r="F10" s="9"/>
      <c r="G10" s="9">
        <v>4792</v>
      </c>
      <c r="H10" s="9">
        <v>5112</v>
      </c>
      <c r="I10" s="9">
        <v>4861</v>
      </c>
      <c r="J10" s="9">
        <v>3928</v>
      </c>
      <c r="K10" s="9"/>
      <c r="L10" s="9">
        <v>3377</v>
      </c>
      <c r="M10" s="9">
        <v>1946</v>
      </c>
      <c r="N10" s="9">
        <v>3910</v>
      </c>
      <c r="O10" s="9">
        <v>1052</v>
      </c>
      <c r="P10" s="9"/>
      <c r="Q10" s="9">
        <v>116496</v>
      </c>
      <c r="R10" s="9">
        <v>18693</v>
      </c>
      <c r="S10" s="9">
        <v>10285</v>
      </c>
    </row>
    <row r="11" spans="1:19">
      <c r="A11" s="8" t="s">
        <v>58</v>
      </c>
      <c r="B11" s="9">
        <v>28947</v>
      </c>
      <c r="C11" s="9">
        <v>25770</v>
      </c>
      <c r="D11" s="9">
        <v>29593</v>
      </c>
      <c r="E11" s="9">
        <v>31285</v>
      </c>
      <c r="F11" s="9"/>
      <c r="G11" s="9">
        <v>3171</v>
      </c>
      <c r="H11" s="9">
        <v>5912</v>
      </c>
      <c r="I11" s="9">
        <v>6326</v>
      </c>
      <c r="J11" s="9">
        <v>5586</v>
      </c>
      <c r="K11" s="9"/>
      <c r="L11" s="9">
        <v>2263</v>
      </c>
      <c r="M11" s="9">
        <v>2128</v>
      </c>
      <c r="N11" s="9">
        <v>3299</v>
      </c>
      <c r="O11" s="9">
        <v>2589</v>
      </c>
      <c r="P11" s="9"/>
      <c r="Q11" s="9">
        <v>115595</v>
      </c>
      <c r="R11" s="9">
        <v>20995</v>
      </c>
      <c r="S11" s="9">
        <v>10279</v>
      </c>
    </row>
    <row r="12" spans="1:19">
      <c r="A12" s="8" t="s">
        <v>388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8" t="s">
        <v>389</v>
      </c>
      <c r="B13" s="9">
        <v>242761</v>
      </c>
      <c r="C13" s="9">
        <v>204284</v>
      </c>
      <c r="D13" s="9">
        <v>201397</v>
      </c>
      <c r="E13" s="9">
        <v>171549</v>
      </c>
      <c r="F13" s="9"/>
      <c r="G13" s="9">
        <v>39181</v>
      </c>
      <c r="H13" s="9">
        <v>41444</v>
      </c>
      <c r="I13" s="9">
        <v>33728</v>
      </c>
      <c r="J13" s="9">
        <v>28572</v>
      </c>
      <c r="K13" s="9"/>
      <c r="L13" s="9">
        <v>23300</v>
      </c>
      <c r="M13" s="9">
        <v>17851</v>
      </c>
      <c r="N13" s="9">
        <v>20880</v>
      </c>
      <c r="O13" s="9">
        <v>12820</v>
      </c>
      <c r="P13" s="9"/>
      <c r="Q13" s="9">
        <v>819991</v>
      </c>
      <c r="R13" s="9">
        <v>142925</v>
      </c>
      <c r="S13" s="9">
        <v>74851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8"/>
  <sheetViews>
    <sheetView zoomScale="115" zoomScaleNormal="115" workbookViewId="0">
      <selection activeCell="C6" sqref="C6"/>
    </sheetView>
  </sheetViews>
  <sheetFormatPr defaultRowHeight="14.4"/>
  <cols>
    <col min="1" max="1" width="17.44140625" bestFit="1" customWidth="1"/>
    <col min="2" max="2" width="15.33203125" bestFit="1" customWidth="1"/>
  </cols>
  <sheetData>
    <row r="3" spans="1:2">
      <c r="A3" s="7" t="s">
        <v>11</v>
      </c>
      <c r="B3" t="s">
        <v>390</v>
      </c>
    </row>
    <row r="4" spans="1:2">
      <c r="A4" s="8" t="s">
        <v>31</v>
      </c>
      <c r="B4" s="11">
        <v>152.86597938144331</v>
      </c>
    </row>
    <row r="5" spans="1:2">
      <c r="A5" s="8" t="s">
        <v>50</v>
      </c>
      <c r="B5" s="11">
        <v>144.03883495145632</v>
      </c>
    </row>
    <row r="6" spans="1:2">
      <c r="A6" s="8" t="s">
        <v>25</v>
      </c>
      <c r="B6" s="11">
        <v>157.02000000000001</v>
      </c>
    </row>
    <row r="7" spans="1:2">
      <c r="A7" s="8" t="s">
        <v>388</v>
      </c>
      <c r="B7" s="11"/>
    </row>
    <row r="8" spans="1:2">
      <c r="A8" s="8" t="s">
        <v>389</v>
      </c>
      <c r="B8" s="11">
        <v>151.22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F20" sqref="F20"/>
    </sheetView>
  </sheetViews>
  <sheetFormatPr defaultRowHeight="14.4"/>
  <cols>
    <col min="1" max="1" width="19.88671875" customWidth="1"/>
    <col min="2" max="2" width="23.88671875" bestFit="1" customWidth="1"/>
  </cols>
  <sheetData>
    <row r="3" spans="1:2">
      <c r="A3" s="7" t="s">
        <v>11</v>
      </c>
      <c r="B3" t="s">
        <v>399</v>
      </c>
    </row>
    <row r="4" spans="1:2">
      <c r="A4" s="8" t="s">
        <v>31</v>
      </c>
      <c r="B4" s="9">
        <v>97</v>
      </c>
    </row>
    <row r="5" spans="1:2">
      <c r="A5" s="16" t="s">
        <v>50</v>
      </c>
      <c r="B5" s="17">
        <v>103</v>
      </c>
    </row>
    <row r="6" spans="1:2">
      <c r="A6" s="8" t="s">
        <v>25</v>
      </c>
      <c r="B6" s="9">
        <v>100</v>
      </c>
    </row>
    <row r="7" spans="1:2">
      <c r="A7" s="8" t="s">
        <v>388</v>
      </c>
      <c r="B7" s="9"/>
    </row>
    <row r="8" spans="1:2">
      <c r="A8" s="13" t="s">
        <v>388</v>
      </c>
      <c r="B8" s="9"/>
    </row>
    <row r="9" spans="1:2">
      <c r="A9" s="8" t="s">
        <v>389</v>
      </c>
      <c r="B9" s="9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25.77734375" customWidth="1"/>
  </cols>
  <sheetData>
    <row r="3" spans="1:2">
      <c r="A3" s="7" t="s">
        <v>1</v>
      </c>
      <c r="B3" t="s">
        <v>400</v>
      </c>
    </row>
    <row r="4" spans="1:2">
      <c r="A4" s="8" t="s">
        <v>36</v>
      </c>
      <c r="B4" s="11">
        <v>0.12197289956132557</v>
      </c>
    </row>
    <row r="5" spans="1:2">
      <c r="A5" s="14" t="s">
        <v>28</v>
      </c>
      <c r="B5" s="15">
        <v>0.19329257693923488</v>
      </c>
    </row>
    <row r="6" spans="1:2">
      <c r="A6" s="8" t="s">
        <v>14</v>
      </c>
      <c r="B6" s="11">
        <v>0.14368407434207892</v>
      </c>
    </row>
    <row r="7" spans="1:2">
      <c r="A7" s="8" t="s">
        <v>23</v>
      </c>
      <c r="B7" s="11">
        <v>0.13118493770753806</v>
      </c>
    </row>
    <row r="8" spans="1:2">
      <c r="A8" s="8" t="s">
        <v>388</v>
      </c>
      <c r="B8" s="11"/>
    </row>
    <row r="9" spans="1:2">
      <c r="A9" s="8" t="s">
        <v>389</v>
      </c>
      <c r="B9" s="11">
        <v>0.1482827247985285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30.21875" bestFit="1" customWidth="1"/>
  </cols>
  <sheetData>
    <row r="3" spans="1:2">
      <c r="A3" s="7" t="s">
        <v>1</v>
      </c>
      <c r="B3" t="s">
        <v>402</v>
      </c>
    </row>
    <row r="4" spans="1:2">
      <c r="A4" s="8" t="s">
        <v>36</v>
      </c>
      <c r="B4" s="11">
        <v>0.54649906832972628</v>
      </c>
    </row>
    <row r="5" spans="1:2">
      <c r="A5" s="8" t="s">
        <v>28</v>
      </c>
      <c r="B5" s="11">
        <v>0.57625321264951812</v>
      </c>
    </row>
    <row r="6" spans="1:2">
      <c r="A6" s="20" t="s">
        <v>14</v>
      </c>
      <c r="B6" s="21">
        <v>0.92800256766213385</v>
      </c>
    </row>
    <row r="7" spans="1:2">
      <c r="A7" s="8" t="s">
        <v>23</v>
      </c>
      <c r="B7" s="11">
        <v>0.90210666313360066</v>
      </c>
    </row>
    <row r="8" spans="1:2">
      <c r="A8" s="8" t="s">
        <v>389</v>
      </c>
      <c r="B8" s="11">
        <v>0.73821537794374481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3:C10"/>
  <sheetViews>
    <sheetView zoomScale="70" zoomScaleNormal="70" workbookViewId="0">
      <selection activeCell="U31" sqref="U31"/>
    </sheetView>
  </sheetViews>
  <sheetFormatPr defaultRowHeight="14.4"/>
  <cols>
    <col min="1" max="1" width="12.5546875" bestFit="1" customWidth="1"/>
    <col min="2" max="2" width="18.21875" customWidth="1"/>
    <col min="3" max="3" width="16.21875" customWidth="1"/>
  </cols>
  <sheetData>
    <row r="3" spans="1:3">
      <c r="B3" s="7" t="s">
        <v>398</v>
      </c>
    </row>
    <row r="4" spans="1:3">
      <c r="A4" s="7" t="s">
        <v>1</v>
      </c>
      <c r="B4" t="s">
        <v>412</v>
      </c>
      <c r="C4" t="s">
        <v>403</v>
      </c>
    </row>
    <row r="5" spans="1:3">
      <c r="A5" s="8" t="s">
        <v>36</v>
      </c>
      <c r="B5" s="9">
        <v>28243</v>
      </c>
      <c r="C5" s="9">
        <v>1379539</v>
      </c>
    </row>
    <row r="6" spans="1:3">
      <c r="A6" s="8" t="s">
        <v>28</v>
      </c>
      <c r="B6" s="9">
        <v>28578</v>
      </c>
      <c r="C6" s="9">
        <v>1164373</v>
      </c>
    </row>
    <row r="7" spans="1:3">
      <c r="A7" s="8" t="s">
        <v>14</v>
      </c>
      <c r="B7" s="9">
        <v>28279</v>
      </c>
      <c r="C7" s="9">
        <v>1060357</v>
      </c>
    </row>
    <row r="8" spans="1:3">
      <c r="A8" s="8" t="s">
        <v>23</v>
      </c>
      <c r="B8" s="9">
        <v>27794</v>
      </c>
      <c r="C8" s="9">
        <v>1228647</v>
      </c>
    </row>
    <row r="9" spans="1:3">
      <c r="A9" s="8" t="s">
        <v>388</v>
      </c>
      <c r="B9" s="9"/>
      <c r="C9" s="9"/>
    </row>
    <row r="10" spans="1:3">
      <c r="A10" s="8" t="s">
        <v>389</v>
      </c>
      <c r="B10" s="9">
        <v>112894</v>
      </c>
      <c r="C10" s="9">
        <v>4832916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5:E11"/>
  <sheetViews>
    <sheetView zoomScale="85" zoomScaleNormal="85" workbookViewId="0">
      <selection activeCell="A7" sqref="A7"/>
    </sheetView>
  </sheetViews>
  <sheetFormatPr defaultRowHeight="14.4"/>
  <cols>
    <col min="1" max="1" width="20.21875" customWidth="1"/>
    <col min="2" max="2" width="22.21875" customWidth="1"/>
    <col min="3" max="4" width="23.21875" bestFit="1" customWidth="1"/>
  </cols>
  <sheetData>
    <row r="5" spans="1:5">
      <c r="B5" s="7" t="s">
        <v>398</v>
      </c>
    </row>
    <row r="6" spans="1:5">
      <c r="A6" s="7" t="s">
        <v>11</v>
      </c>
      <c r="B6" t="s">
        <v>404</v>
      </c>
      <c r="C6" t="s">
        <v>405</v>
      </c>
      <c r="D6" t="s">
        <v>406</v>
      </c>
    </row>
    <row r="7" spans="1:5">
      <c r="A7" s="8" t="s">
        <v>31</v>
      </c>
      <c r="B7" s="9">
        <v>97</v>
      </c>
      <c r="C7" s="9">
        <v>9</v>
      </c>
      <c r="D7" s="9">
        <v>4</v>
      </c>
      <c r="E7" s="9"/>
    </row>
    <row r="8" spans="1:5">
      <c r="A8" s="22" t="s">
        <v>50</v>
      </c>
      <c r="B8" s="23">
        <v>103</v>
      </c>
      <c r="C8" s="23">
        <v>8</v>
      </c>
      <c r="D8" s="23">
        <v>5</v>
      </c>
      <c r="E8" s="9"/>
    </row>
    <row r="9" spans="1:5">
      <c r="A9" s="8" t="s">
        <v>25</v>
      </c>
      <c r="B9" s="9">
        <v>100</v>
      </c>
      <c r="C9" s="9">
        <v>11</v>
      </c>
      <c r="D9" s="9">
        <v>2</v>
      </c>
      <c r="E9" s="9"/>
    </row>
    <row r="10" spans="1:5">
      <c r="A10" s="8" t="s">
        <v>388</v>
      </c>
      <c r="B10" s="9"/>
      <c r="C10" s="9"/>
      <c r="D10" s="9"/>
    </row>
    <row r="11" spans="1:5">
      <c r="A11" s="8" t="s">
        <v>389</v>
      </c>
      <c r="B11" s="9">
        <v>300</v>
      </c>
      <c r="C11" s="9">
        <v>28</v>
      </c>
      <c r="D11" s="9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B25"/>
  <sheetViews>
    <sheetView workbookViewId="0">
      <selection activeCell="G32" sqref="G32"/>
    </sheetView>
  </sheetViews>
  <sheetFormatPr defaultRowHeight="14.4"/>
  <cols>
    <col min="1" max="1" width="24.77734375" customWidth="1"/>
    <col min="2" max="2" width="25.77734375" customWidth="1"/>
    <col min="3" max="6" width="14" bestFit="1" customWidth="1"/>
    <col min="7" max="7" width="13.5546875" bestFit="1" customWidth="1"/>
  </cols>
  <sheetData>
    <row r="3" spans="1:2">
      <c r="A3" s="7" t="s">
        <v>11</v>
      </c>
      <c r="B3" t="s">
        <v>400</v>
      </c>
    </row>
    <row r="4" spans="1:2">
      <c r="A4" s="8" t="s">
        <v>31</v>
      </c>
      <c r="B4" s="11">
        <v>0.15664344182530948</v>
      </c>
    </row>
    <row r="5" spans="1:2">
      <c r="A5" s="13" t="s">
        <v>386</v>
      </c>
      <c r="B5" s="11">
        <v>0.21636759108210984</v>
      </c>
    </row>
    <row r="6" spans="1:2">
      <c r="A6" s="13" t="s">
        <v>387</v>
      </c>
      <c r="B6" s="11">
        <v>0.21758378127893035</v>
      </c>
    </row>
    <row r="7" spans="1:2">
      <c r="A7" s="13" t="s">
        <v>31</v>
      </c>
      <c r="B7" s="11">
        <v>7.9915048543689318E-2</v>
      </c>
    </row>
    <row r="8" spans="1:2">
      <c r="A8" s="13" t="s">
        <v>381</v>
      </c>
      <c r="B8" s="11">
        <v>0.15571802706241816</v>
      </c>
    </row>
    <row r="9" spans="1:2">
      <c r="A9" s="13" t="s">
        <v>25</v>
      </c>
      <c r="B9" s="11">
        <v>0.10006593424149061</v>
      </c>
    </row>
    <row r="10" spans="1:2">
      <c r="A10" s="13" t="s">
        <v>388</v>
      </c>
      <c r="B10" s="11">
        <v>0.15803388512321567</v>
      </c>
    </row>
    <row r="11" spans="1:2">
      <c r="A11" s="8" t="s">
        <v>50</v>
      </c>
      <c r="B11" s="11">
        <v>0.14123247081320278</v>
      </c>
    </row>
    <row r="12" spans="1:2">
      <c r="A12" s="13" t="s">
        <v>386</v>
      </c>
      <c r="B12" s="11">
        <v>0.10098269374570186</v>
      </c>
    </row>
    <row r="13" spans="1:2">
      <c r="A13" s="13" t="s">
        <v>31</v>
      </c>
      <c r="B13" s="11">
        <v>0.11879910213243547</v>
      </c>
    </row>
    <row r="14" spans="1:2">
      <c r="A14" s="13" t="s">
        <v>381</v>
      </c>
      <c r="B14" s="11">
        <v>0.11143487163332809</v>
      </c>
    </row>
    <row r="15" spans="1:2">
      <c r="A15" s="13" t="s">
        <v>25</v>
      </c>
      <c r="B15" s="11">
        <v>0.12922360284534465</v>
      </c>
    </row>
    <row r="16" spans="1:2">
      <c r="A16" s="13" t="s">
        <v>388</v>
      </c>
      <c r="B16" s="11">
        <v>0.14343254347601042</v>
      </c>
    </row>
    <row r="17" spans="1:2">
      <c r="A17" s="8" t="s">
        <v>25</v>
      </c>
      <c r="B17" s="11">
        <v>0.14743459088743641</v>
      </c>
    </row>
    <row r="18" spans="1:2">
      <c r="A18" s="13" t="s">
        <v>386</v>
      </c>
      <c r="B18" s="11">
        <v>0.10075558839808633</v>
      </c>
    </row>
    <row r="19" spans="1:2">
      <c r="A19" s="13" t="s">
        <v>387</v>
      </c>
      <c r="B19" s="11">
        <v>7.6097681302417369E-2</v>
      </c>
    </row>
    <row r="20" spans="1:2">
      <c r="A20" s="13" t="s">
        <v>31</v>
      </c>
      <c r="B20" s="11">
        <v>8.5646116732348052E-2</v>
      </c>
    </row>
    <row r="21" spans="1:2">
      <c r="A21" s="13" t="s">
        <v>381</v>
      </c>
      <c r="B21" s="11">
        <v>0.10231159494757243</v>
      </c>
    </row>
    <row r="22" spans="1:2">
      <c r="A22" s="13" t="s">
        <v>388</v>
      </c>
      <c r="B22" s="11">
        <v>0.15376804996790311</v>
      </c>
    </row>
    <row r="23" spans="1:2">
      <c r="A23" s="8" t="s">
        <v>388</v>
      </c>
      <c r="B23" s="11"/>
    </row>
    <row r="24" spans="1:2">
      <c r="A24" s="13" t="s">
        <v>388</v>
      </c>
      <c r="B24" s="11"/>
    </row>
    <row r="25" spans="1:2">
      <c r="A25" s="8" t="s">
        <v>389</v>
      </c>
      <c r="B25" s="11">
        <v>0.1482827247985285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M31" sqref="M31"/>
    </sheetView>
  </sheetViews>
  <sheetFormatPr defaultRowHeight="14.4"/>
  <cols>
    <col min="1" max="1" width="12.5546875" customWidth="1"/>
    <col min="2" max="2" width="25.77734375" bestFit="1" customWidth="1"/>
  </cols>
  <sheetData>
    <row r="3" spans="1:2">
      <c r="A3" s="7" t="s">
        <v>3</v>
      </c>
      <c r="B3" t="s">
        <v>400</v>
      </c>
    </row>
    <row r="4" spans="1:2">
      <c r="A4" s="8" t="s">
        <v>38</v>
      </c>
      <c r="B4" s="11">
        <v>0.14814919934149992</v>
      </c>
    </row>
    <row r="5" spans="1:2">
      <c r="A5" s="8" t="s">
        <v>43</v>
      </c>
      <c r="B5" s="11">
        <v>0.136874940548697</v>
      </c>
    </row>
    <row r="6" spans="1:2">
      <c r="A6" s="8" t="s">
        <v>58</v>
      </c>
      <c r="B6" s="11">
        <v>0.14814844474464281</v>
      </c>
    </row>
    <row r="7" spans="1:2">
      <c r="A7" s="8" t="s">
        <v>389</v>
      </c>
      <c r="B7" s="9">
        <v>0.14384428569537003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3:I10"/>
  <sheetViews>
    <sheetView zoomScale="85" zoomScaleNormal="85" workbookViewId="0">
      <selection activeCell="A5" sqref="A5"/>
    </sheetView>
  </sheetViews>
  <sheetFormatPr defaultRowHeight="14.4"/>
  <cols>
    <col min="1" max="1" width="25.77734375" bestFit="1" customWidth="1"/>
    <col min="2" max="2" width="15.5546875" bestFit="1" customWidth="1"/>
    <col min="3" max="3" width="6.21875" customWidth="1"/>
    <col min="4" max="4" width="4.5546875" customWidth="1"/>
    <col min="5" max="5" width="5.44140625" customWidth="1"/>
    <col min="6" max="6" width="4.5546875" customWidth="1"/>
    <col min="7" max="7" width="5.88671875" customWidth="1"/>
    <col min="8" max="8" width="7" customWidth="1"/>
    <col min="9" max="9" width="10.77734375" bestFit="1" customWidth="1"/>
  </cols>
  <sheetData>
    <row r="3" spans="1:9">
      <c r="A3" s="7" t="s">
        <v>400</v>
      </c>
      <c r="B3" s="7" t="s">
        <v>391</v>
      </c>
    </row>
    <row r="4" spans="1:9">
      <c r="A4" s="7" t="s">
        <v>1</v>
      </c>
      <c r="B4" t="s">
        <v>38</v>
      </c>
      <c r="C4" t="s">
        <v>43</v>
      </c>
      <c r="D4" t="s">
        <v>15</v>
      </c>
      <c r="E4" t="s">
        <v>29</v>
      </c>
      <c r="F4" t="s">
        <v>19</v>
      </c>
      <c r="G4" t="s">
        <v>58</v>
      </c>
      <c r="H4" t="s">
        <v>388</v>
      </c>
      <c r="I4" t="s">
        <v>389</v>
      </c>
    </row>
    <row r="5" spans="1:9">
      <c r="A5" s="8" t="s">
        <v>36</v>
      </c>
      <c r="B5" s="11">
        <v>0.11820589815604368</v>
      </c>
      <c r="C5" s="11">
        <v>0.11892682975133066</v>
      </c>
      <c r="D5" s="11">
        <v>0.10810248159985612</v>
      </c>
      <c r="E5" s="11">
        <v>0.15898977777988449</v>
      </c>
      <c r="F5" s="11">
        <v>0.10743951285512837</v>
      </c>
      <c r="G5" s="11">
        <v>0.12899653614759149</v>
      </c>
      <c r="H5" s="11"/>
      <c r="I5" s="11">
        <v>0.1219728995613255</v>
      </c>
    </row>
    <row r="6" spans="1:9">
      <c r="A6" s="22" t="s">
        <v>28</v>
      </c>
      <c r="B6" s="24">
        <v>0.14439860032256024</v>
      </c>
      <c r="C6" s="24">
        <v>0.14929862484025289</v>
      </c>
      <c r="D6" s="24">
        <v>0.26004033206333965</v>
      </c>
      <c r="E6" s="24">
        <v>0.24558274253543638</v>
      </c>
      <c r="F6" s="24">
        <v>0.12920449104190179</v>
      </c>
      <c r="G6" s="24">
        <v>0.2062396061640541</v>
      </c>
      <c r="H6" s="24"/>
      <c r="I6" s="24">
        <v>0.19329257693923479</v>
      </c>
    </row>
    <row r="7" spans="1:9">
      <c r="A7" s="8" t="s">
        <v>14</v>
      </c>
      <c r="B7" s="11">
        <v>0.15972488239914528</v>
      </c>
      <c r="C7" s="11">
        <v>0.14756648191377314</v>
      </c>
      <c r="D7" s="11">
        <v>0.12428081569427865</v>
      </c>
      <c r="E7" s="11">
        <v>0.18859716943319418</v>
      </c>
      <c r="F7" s="11">
        <v>0.12088972902726508</v>
      </c>
      <c r="G7" s="11">
        <v>0.1198087665867789</v>
      </c>
      <c r="H7" s="11"/>
      <c r="I7" s="11">
        <v>0.14368407434207889</v>
      </c>
    </row>
    <row r="8" spans="1:9">
      <c r="A8" s="8" t="s">
        <v>23</v>
      </c>
      <c r="B8" s="11">
        <v>0.17416554369953544</v>
      </c>
      <c r="C8" s="11">
        <v>0.15035567844671385</v>
      </c>
      <c r="D8" s="11">
        <v>0.11688583584797579</v>
      </c>
      <c r="E8" s="11">
        <v>9.4965330348360785E-2</v>
      </c>
      <c r="F8" s="11">
        <v>0.11459217612964397</v>
      </c>
      <c r="G8" s="11">
        <v>0.12968338256813228</v>
      </c>
      <c r="H8" s="11"/>
      <c r="I8" s="11">
        <v>0.13118493770753806</v>
      </c>
    </row>
    <row r="9" spans="1:9">
      <c r="A9" s="8" t="s">
        <v>388</v>
      </c>
      <c r="B9" s="11"/>
      <c r="C9" s="11"/>
      <c r="D9" s="11"/>
      <c r="E9" s="11"/>
      <c r="F9" s="11"/>
      <c r="G9" s="11"/>
      <c r="H9" s="11"/>
      <c r="I9" s="11"/>
    </row>
    <row r="10" spans="1:9">
      <c r="A10" s="8" t="s">
        <v>389</v>
      </c>
      <c r="B10" s="11">
        <v>0.14814919934149992</v>
      </c>
      <c r="C10" s="11">
        <v>0.136874940548697</v>
      </c>
      <c r="D10" s="11">
        <v>0.15615682164328951</v>
      </c>
      <c r="E10" s="11">
        <v>0.18425775384163354</v>
      </c>
      <c r="F10" s="11">
        <v>0.11750673823506559</v>
      </c>
      <c r="G10" s="11">
        <v>0.14814844474464284</v>
      </c>
      <c r="H10" s="11"/>
      <c r="I10" s="11">
        <v>0.1482827247985285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3:G10"/>
  <sheetViews>
    <sheetView topLeftCell="A4" workbookViewId="0">
      <selection activeCell="A4" sqref="A4"/>
    </sheetView>
  </sheetViews>
  <sheetFormatPr defaultRowHeight="14.4"/>
  <cols>
    <col min="1" max="1" width="16" bestFit="1" customWidth="1"/>
    <col min="2" max="2" width="16.88671875" bestFit="1" customWidth="1"/>
    <col min="3" max="3" width="20.109375" bestFit="1" customWidth="1"/>
    <col min="4" max="4" width="11.109375" bestFit="1" customWidth="1"/>
    <col min="5" max="5" width="14.33203125" bestFit="1" customWidth="1"/>
    <col min="6" max="6" width="11.6640625" bestFit="1" customWidth="1"/>
    <col min="7" max="7" width="14.88671875" bestFit="1" customWidth="1"/>
  </cols>
  <sheetData>
    <row r="3" spans="1:7">
      <c r="B3" s="7" t="s">
        <v>398</v>
      </c>
    </row>
    <row r="4" spans="1:7">
      <c r="A4" s="7" t="s">
        <v>12</v>
      </c>
      <c r="B4" t="s">
        <v>407</v>
      </c>
      <c r="C4" t="s">
        <v>410</v>
      </c>
      <c r="D4" t="s">
        <v>392</v>
      </c>
      <c r="E4" t="s">
        <v>409</v>
      </c>
      <c r="F4" t="s">
        <v>408</v>
      </c>
      <c r="G4" t="s">
        <v>390</v>
      </c>
    </row>
    <row r="5" spans="1:7">
      <c r="A5" s="8" t="s">
        <v>17</v>
      </c>
      <c r="B5" s="9">
        <v>1846272</v>
      </c>
      <c r="C5" s="11">
        <v>38464</v>
      </c>
      <c r="D5" s="9">
        <v>138793</v>
      </c>
      <c r="E5" s="11">
        <v>2891.5208333333335</v>
      </c>
      <c r="F5" s="9">
        <v>6434</v>
      </c>
      <c r="G5" s="11">
        <v>134.04166666666666</v>
      </c>
    </row>
    <row r="6" spans="1:7">
      <c r="A6" s="8" t="s">
        <v>26</v>
      </c>
      <c r="B6" s="9">
        <v>2266053</v>
      </c>
      <c r="C6" s="11">
        <v>33821.686567164179</v>
      </c>
      <c r="D6" s="9">
        <v>183346</v>
      </c>
      <c r="E6" s="11">
        <v>2736.5074626865671</v>
      </c>
      <c r="F6" s="9">
        <v>10032</v>
      </c>
      <c r="G6" s="11">
        <v>149.73134328358208</v>
      </c>
    </row>
    <row r="7" spans="1:7">
      <c r="A7" s="8" t="s">
        <v>21</v>
      </c>
      <c r="B7" s="9">
        <v>1986356</v>
      </c>
      <c r="C7" s="11">
        <v>34247.517241379312</v>
      </c>
      <c r="D7" s="9">
        <v>159783</v>
      </c>
      <c r="E7" s="11">
        <v>2754.8793103448274</v>
      </c>
      <c r="F7" s="9">
        <v>9872</v>
      </c>
      <c r="G7" s="11">
        <v>170.20689655172413</v>
      </c>
    </row>
    <row r="8" spans="1:7">
      <c r="A8" s="8" t="s">
        <v>32</v>
      </c>
      <c r="B8" s="9">
        <v>2464864</v>
      </c>
      <c r="C8" s="11">
        <v>34716.394366197186</v>
      </c>
      <c r="D8" s="9">
        <v>187909</v>
      </c>
      <c r="E8" s="11">
        <v>2646.605633802817</v>
      </c>
      <c r="F8" s="9">
        <v>10689</v>
      </c>
      <c r="G8" s="11">
        <v>150.54929577464787</v>
      </c>
    </row>
    <row r="9" spans="1:7">
      <c r="A9" s="8" t="s">
        <v>388</v>
      </c>
      <c r="B9" s="9">
        <v>1830608</v>
      </c>
      <c r="C9" s="11">
        <v>32689.428571428572</v>
      </c>
      <c r="D9" s="9">
        <v>150160</v>
      </c>
      <c r="E9" s="11">
        <v>2681.4285714285716</v>
      </c>
      <c r="F9" s="9">
        <v>8339</v>
      </c>
      <c r="G9" s="11">
        <v>148.91071428571428</v>
      </c>
    </row>
    <row r="10" spans="1:7">
      <c r="A10" s="8" t="s">
        <v>389</v>
      </c>
      <c r="B10" s="9">
        <v>10394153</v>
      </c>
      <c r="C10" s="11">
        <v>34647.176666666666</v>
      </c>
      <c r="D10" s="9">
        <v>819991</v>
      </c>
      <c r="E10" s="11">
        <v>2733.3033333333333</v>
      </c>
      <c r="F10" s="9">
        <v>45366</v>
      </c>
      <c r="G10" s="11">
        <v>151.22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301"/>
  <sheetViews>
    <sheetView topLeftCell="E1" zoomScale="70" zoomScaleNormal="70" workbookViewId="0">
      <selection activeCell="S3" sqref="S3"/>
    </sheetView>
  </sheetViews>
  <sheetFormatPr defaultRowHeight="14.4"/>
  <cols>
    <col min="1" max="1" width="12" customWidth="1"/>
    <col min="2" max="2" width="14.21875" customWidth="1"/>
    <col min="3" max="3" width="13.88671875" style="26" customWidth="1"/>
    <col min="4" max="4" width="19.21875" customWidth="1"/>
    <col min="5" max="5" width="14.6640625" customWidth="1"/>
    <col min="6" max="6" width="11.77734375" customWidth="1"/>
    <col min="7" max="7" width="15.5546875" customWidth="1"/>
    <col min="8" max="8" width="17.21875" customWidth="1"/>
    <col min="9" max="9" width="12" customWidth="1"/>
    <col min="10" max="10" width="10.88671875" customWidth="1"/>
    <col min="11" max="11" width="21.33203125" customWidth="1"/>
    <col min="12" max="13" width="21.6640625" customWidth="1"/>
    <col min="14" max="14" width="22.77734375" customWidth="1"/>
    <col min="15" max="15" width="25" customWidth="1"/>
    <col min="16" max="16" width="11.44140625" customWidth="1"/>
    <col min="17" max="17" width="17.77734375" style="11" customWidth="1"/>
    <col min="18" max="18" width="17.5546875" style="11" customWidth="1"/>
    <col min="19" max="19" width="25.5546875" style="35" customWidth="1"/>
    <col min="20" max="21" width="8.88671875" style="35"/>
    <col min="22" max="22" width="25.33203125" customWidth="1"/>
    <col min="23" max="23" width="17" style="6" customWidth="1"/>
    <col min="24" max="24" width="14.77734375" style="6" customWidth="1"/>
  </cols>
  <sheetData>
    <row r="1" spans="1:24">
      <c r="A1" s="1" t="s">
        <v>0</v>
      </c>
      <c r="B1" s="1" t="s">
        <v>1</v>
      </c>
      <c r="C1" s="4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8" t="s">
        <v>11</v>
      </c>
      <c r="L1" s="1" t="s">
        <v>424</v>
      </c>
      <c r="M1" s="1" t="s">
        <v>425</v>
      </c>
      <c r="N1" s="1" t="s">
        <v>12</v>
      </c>
      <c r="O1" s="33" t="s">
        <v>411</v>
      </c>
      <c r="P1" s="33" t="s">
        <v>417</v>
      </c>
      <c r="Q1" s="36" t="s">
        <v>418</v>
      </c>
      <c r="R1" s="36" t="s">
        <v>419</v>
      </c>
      <c r="S1" s="34" t="s">
        <v>427</v>
      </c>
      <c r="T1" s="34"/>
      <c r="U1" s="34"/>
      <c r="V1" s="43" t="s">
        <v>12</v>
      </c>
      <c r="W1" s="45" t="s">
        <v>365</v>
      </c>
      <c r="X1" s="45" t="s">
        <v>366</v>
      </c>
    </row>
    <row r="2" spans="1:24">
      <c r="A2" s="2" t="s">
        <v>13</v>
      </c>
      <c r="B2" s="2" t="s">
        <v>14</v>
      </c>
      <c r="C2" s="25">
        <v>45649</v>
      </c>
      <c r="D2" s="2" t="s">
        <v>15</v>
      </c>
      <c r="E2" s="2">
        <v>1461</v>
      </c>
      <c r="F2" s="2">
        <v>184</v>
      </c>
      <c r="G2" s="2">
        <v>344</v>
      </c>
      <c r="H2" s="3">
        <v>21915</v>
      </c>
      <c r="I2" s="2">
        <v>21675</v>
      </c>
      <c r="J2" s="3">
        <v>15</v>
      </c>
      <c r="K2" s="2" t="s">
        <v>50</v>
      </c>
      <c r="L2" s="2" t="s">
        <v>386</v>
      </c>
      <c r="M2" s="2" t="s">
        <v>416</v>
      </c>
      <c r="N2" s="2" t="s">
        <v>17</v>
      </c>
      <c r="O2" s="12">
        <f>((E2+F2+G2)/H2)*100</f>
        <v>9.075975359342916</v>
      </c>
      <c r="P2" t="str">
        <f>IF(AND(C2&gt;=$W$2,C2&lt;=$X$2),"During","Before")</f>
        <v>Before</v>
      </c>
      <c r="Q2" s="11">
        <f ca="1">AVERAGEIF(P2:P301,"Before",O2)</f>
        <v>15.272140148476215</v>
      </c>
      <c r="R2" s="11">
        <f ca="1">AVERAGEIF(P2:P301,"During",O2)</f>
        <v>10.340277163772086</v>
      </c>
      <c r="S2" s="35">
        <f ca="1">(R2-Q2)/Q2</f>
        <v>-0.32293201455437193</v>
      </c>
      <c r="V2" s="2" t="s">
        <v>17</v>
      </c>
      <c r="W2" s="5">
        <v>45458</v>
      </c>
      <c r="X2" s="5">
        <v>45488</v>
      </c>
    </row>
    <row r="3" spans="1:24">
      <c r="A3" s="2" t="s">
        <v>18</v>
      </c>
      <c r="B3" s="2" t="s">
        <v>14</v>
      </c>
      <c r="C3" s="25">
        <v>45750</v>
      </c>
      <c r="D3" s="2" t="s">
        <v>19</v>
      </c>
      <c r="E3" s="2">
        <v>4054</v>
      </c>
      <c r="F3" s="2">
        <v>389</v>
      </c>
      <c r="G3" s="2">
        <v>493</v>
      </c>
      <c r="H3" s="3">
        <v>64864</v>
      </c>
      <c r="I3" s="2">
        <v>64383</v>
      </c>
      <c r="J3" s="3">
        <v>117</v>
      </c>
      <c r="K3" s="2" t="s">
        <v>25</v>
      </c>
      <c r="L3" s="2" t="s">
        <v>387</v>
      </c>
      <c r="M3" s="2" t="s">
        <v>416</v>
      </c>
      <c r="N3" s="2" t="s">
        <v>21</v>
      </c>
      <c r="O3" s="12">
        <f t="shared" ref="O3:O66" si="0">((E3+F3+G3)/H3)*100</f>
        <v>7.6097681302417373</v>
      </c>
      <c r="P3" t="str">
        <f>IF(AND(C3&gt;=$W$2,C3&lt;=$X$2),"During","Before")</f>
        <v>Before</v>
      </c>
      <c r="Q3" s="11">
        <f t="shared" ref="Q3:Q66" ca="1" si="1">AVERAGEIF(P3:P302,"Before",O3)</f>
        <v>15.294920166083322</v>
      </c>
      <c r="R3" s="11">
        <f t="shared" ref="R3:R66" ca="1" si="2">AVERAGEIF(P3:P302,"During",O3)</f>
        <v>10.340277163772086</v>
      </c>
      <c r="S3" s="35">
        <f t="shared" ref="S3:S66" ca="1" si="3">(R3-Q3)/Q3</f>
        <v>-0.32394042914314908</v>
      </c>
      <c r="V3" s="2" t="s">
        <v>21</v>
      </c>
      <c r="W3" s="5">
        <v>45566</v>
      </c>
      <c r="X3" s="5">
        <v>45596</v>
      </c>
    </row>
    <row r="4" spans="1:24">
      <c r="A4" s="2" t="s">
        <v>22</v>
      </c>
      <c r="B4" s="2" t="s">
        <v>23</v>
      </c>
      <c r="C4" s="25">
        <v>45789</v>
      </c>
      <c r="D4" s="2" t="s">
        <v>15</v>
      </c>
      <c r="E4" s="2">
        <v>2795</v>
      </c>
      <c r="F4" s="2">
        <v>105</v>
      </c>
      <c r="G4" s="2">
        <v>49</v>
      </c>
      <c r="H4" s="3">
        <v>53105</v>
      </c>
      <c r="I4" s="2">
        <v>52307</v>
      </c>
      <c r="J4" s="3">
        <v>204</v>
      </c>
      <c r="K4" s="2" t="s">
        <v>25</v>
      </c>
      <c r="L4" s="2" t="s">
        <v>416</v>
      </c>
      <c r="M4" s="2" t="s">
        <v>416</v>
      </c>
      <c r="N4" s="2" t="s">
        <v>26</v>
      </c>
      <c r="O4" s="12">
        <f t="shared" si="0"/>
        <v>5.5531494209584791</v>
      </c>
      <c r="P4" t="str">
        <f t="shared" ref="P4:P66" si="4">IF(AND(C4&gt;=$W$2,C4&lt;=$X$2),"During","Before")</f>
        <v>Before</v>
      </c>
      <c r="Q4" s="11">
        <f t="shared" ca="1" si="1"/>
        <v>15.323278660680524</v>
      </c>
      <c r="R4" s="11">
        <f t="shared" ca="1" si="2"/>
        <v>10.340277163772086</v>
      </c>
      <c r="S4" s="35">
        <f t="shared" ca="1" si="3"/>
        <v>-0.3251915994776497</v>
      </c>
      <c r="V4" s="2" t="s">
        <v>26</v>
      </c>
      <c r="W4" s="5">
        <v>45651</v>
      </c>
      <c r="X4" s="5">
        <v>45667</v>
      </c>
    </row>
    <row r="5" spans="1:24">
      <c r="A5" s="2" t="s">
        <v>27</v>
      </c>
      <c r="B5" s="2" t="s">
        <v>28</v>
      </c>
      <c r="C5" s="25">
        <v>45516</v>
      </c>
      <c r="D5" s="2" t="s">
        <v>29</v>
      </c>
      <c r="E5" s="2">
        <v>2404</v>
      </c>
      <c r="F5" s="2">
        <v>363</v>
      </c>
      <c r="G5" s="2">
        <v>138</v>
      </c>
      <c r="H5" s="3">
        <v>19232</v>
      </c>
      <c r="I5" s="2">
        <v>18636</v>
      </c>
      <c r="J5" s="3">
        <v>128</v>
      </c>
      <c r="K5" s="2" t="s">
        <v>31</v>
      </c>
      <c r="L5" s="32" t="s">
        <v>416</v>
      </c>
      <c r="M5" s="32" t="s">
        <v>416</v>
      </c>
      <c r="N5" s="2" t="s">
        <v>32</v>
      </c>
      <c r="O5" s="12">
        <f t="shared" si="0"/>
        <v>15.105033277870216</v>
      </c>
      <c r="P5" t="str">
        <f>IF(AND(C5&gt;=$W$2,C5&lt;=$X$2),"During","Before")</f>
        <v>Before</v>
      </c>
      <c r="Q5" s="11">
        <f t="shared" ca="1" si="1"/>
        <v>15.359464324531345</v>
      </c>
      <c r="R5" s="11">
        <f t="shared" ca="1" si="2"/>
        <v>10.340277163772086</v>
      </c>
      <c r="S5" s="35">
        <f t="shared" ca="1" si="3"/>
        <v>-0.32678139384997118</v>
      </c>
      <c r="V5" s="2" t="s">
        <v>32</v>
      </c>
      <c r="W5" s="5">
        <v>45717</v>
      </c>
      <c r="X5" s="5">
        <v>45747</v>
      </c>
    </row>
    <row r="6" spans="1:24">
      <c r="A6" s="2" t="s">
        <v>33</v>
      </c>
      <c r="B6" s="2" t="s">
        <v>23</v>
      </c>
      <c r="C6" s="25">
        <v>45469</v>
      </c>
      <c r="D6" s="2" t="s">
        <v>15</v>
      </c>
      <c r="E6" s="2">
        <v>3557</v>
      </c>
      <c r="F6" s="2">
        <v>687</v>
      </c>
      <c r="G6" s="2">
        <v>424</v>
      </c>
      <c r="H6" s="3">
        <v>71140</v>
      </c>
      <c r="I6" s="2">
        <v>70701</v>
      </c>
      <c r="J6" s="3">
        <v>224</v>
      </c>
      <c r="K6" s="2" t="s">
        <v>31</v>
      </c>
      <c r="L6" s="2" t="s">
        <v>25</v>
      </c>
      <c r="M6" s="32" t="s">
        <v>416</v>
      </c>
      <c r="N6" s="2" t="s">
        <v>17</v>
      </c>
      <c r="O6" s="12">
        <f t="shared" si="0"/>
        <v>6.5617093055946025</v>
      </c>
      <c r="P6" t="str">
        <f t="shared" si="4"/>
        <v>During</v>
      </c>
      <c r="Q6" s="11">
        <f t="shared" ca="1" si="1"/>
        <v>15.360410164853505</v>
      </c>
      <c r="R6" s="11">
        <f t="shared" ca="1" si="2"/>
        <v>10.340277163772086</v>
      </c>
      <c r="S6" s="35">
        <f t="shared" ca="1" si="3"/>
        <v>-0.32682284829659669</v>
      </c>
    </row>
    <row r="7" spans="1:24">
      <c r="A7" s="2" t="s">
        <v>35</v>
      </c>
      <c r="B7" s="2" t="s">
        <v>36</v>
      </c>
      <c r="C7" s="25">
        <v>45596</v>
      </c>
      <c r="D7" s="2" t="s">
        <v>38</v>
      </c>
      <c r="E7" s="2">
        <v>2945</v>
      </c>
      <c r="F7" s="2">
        <v>930</v>
      </c>
      <c r="G7" s="2">
        <v>355</v>
      </c>
      <c r="H7" s="3">
        <v>23560</v>
      </c>
      <c r="I7" s="2">
        <v>23275</v>
      </c>
      <c r="J7" s="3">
        <v>256</v>
      </c>
      <c r="K7" s="2" t="s">
        <v>25</v>
      </c>
      <c r="L7" s="2" t="s">
        <v>416</v>
      </c>
      <c r="M7" s="32" t="s">
        <v>416</v>
      </c>
      <c r="N7" s="2" t="s">
        <v>21</v>
      </c>
      <c r="O7" s="12">
        <f t="shared" si="0"/>
        <v>17.954159592529713</v>
      </c>
      <c r="P7" t="str">
        <f t="shared" si="4"/>
        <v>Before</v>
      </c>
      <c r="Q7" s="11">
        <f t="shared" ca="1" si="1"/>
        <v>15.360410164853505</v>
      </c>
      <c r="R7" s="11">
        <f t="shared" ca="1" si="2"/>
        <v>10.485606696778913</v>
      </c>
      <c r="S7" s="35">
        <f t="shared" ca="1" si="3"/>
        <v>-0.31736154280754419</v>
      </c>
    </row>
    <row r="8" spans="1:24">
      <c r="A8" s="2" t="s">
        <v>40</v>
      </c>
      <c r="B8" s="2" t="s">
        <v>14</v>
      </c>
      <c r="C8" s="25">
        <v>45467</v>
      </c>
      <c r="D8" s="2" t="s">
        <v>38</v>
      </c>
      <c r="E8" s="2">
        <v>3860</v>
      </c>
      <c r="F8" s="2">
        <v>201</v>
      </c>
      <c r="G8" s="2">
        <v>279</v>
      </c>
      <c r="H8" s="3">
        <v>61760</v>
      </c>
      <c r="I8" s="2">
        <v>61660</v>
      </c>
      <c r="J8" s="3">
        <v>235</v>
      </c>
      <c r="K8" s="2" t="s">
        <v>25</v>
      </c>
      <c r="L8" s="2" t="s">
        <v>416</v>
      </c>
      <c r="M8" s="32" t="s">
        <v>416</v>
      </c>
      <c r="N8" s="2" t="s">
        <v>21</v>
      </c>
      <c r="O8" s="12">
        <f t="shared" si="0"/>
        <v>7.0272020725388602</v>
      </c>
      <c r="P8" t="str">
        <f t="shared" si="4"/>
        <v>During</v>
      </c>
      <c r="Q8" s="11">
        <f t="shared" ca="1" si="1"/>
        <v>15.350731995347251</v>
      </c>
      <c r="R8" s="11">
        <f t="shared" ca="1" si="2"/>
        <v>10.485606696778913</v>
      </c>
      <c r="S8" s="35">
        <f t="shared" ca="1" si="3"/>
        <v>-0.31693116002826055</v>
      </c>
    </row>
    <row r="9" spans="1:24">
      <c r="A9" s="2" t="s">
        <v>42</v>
      </c>
      <c r="B9" s="2" t="s">
        <v>23</v>
      </c>
      <c r="C9" s="25">
        <v>45486</v>
      </c>
      <c r="D9" s="2" t="s">
        <v>43</v>
      </c>
      <c r="E9" s="2">
        <v>3929</v>
      </c>
      <c r="F9" s="2">
        <v>262</v>
      </c>
      <c r="G9" s="2">
        <v>278</v>
      </c>
      <c r="H9" s="3">
        <v>43219</v>
      </c>
      <c r="I9" s="2">
        <v>42841</v>
      </c>
      <c r="J9" s="3">
        <v>39</v>
      </c>
      <c r="K9" s="2" t="s">
        <v>31</v>
      </c>
      <c r="L9" s="2" t="s">
        <v>416</v>
      </c>
      <c r="M9" s="32" t="s">
        <v>416</v>
      </c>
      <c r="N9" s="2" t="s">
        <v>32</v>
      </c>
      <c r="O9" s="12">
        <f t="shared" si="0"/>
        <v>10.340359564080613</v>
      </c>
      <c r="P9" t="str">
        <f t="shared" si="4"/>
        <v>During</v>
      </c>
      <c r="Q9" s="11">
        <f t="shared" ca="1" si="1"/>
        <v>15.350731995347251</v>
      </c>
      <c r="R9" s="11">
        <f t="shared" ca="1" si="2"/>
        <v>10.623942881748514</v>
      </c>
      <c r="S9" s="35">
        <f t="shared" ca="1" si="3"/>
        <v>-0.30791946045513724</v>
      </c>
    </row>
    <row r="10" spans="1:24">
      <c r="A10" s="2" t="s">
        <v>45</v>
      </c>
      <c r="B10" s="2" t="s">
        <v>36</v>
      </c>
      <c r="C10" s="25">
        <v>45534</v>
      </c>
      <c r="D10" s="2" t="s">
        <v>19</v>
      </c>
      <c r="E10" s="2">
        <v>3784</v>
      </c>
      <c r="F10" s="2">
        <v>808</v>
      </c>
      <c r="G10" s="2">
        <v>404</v>
      </c>
      <c r="H10" s="3">
        <v>56760</v>
      </c>
      <c r="I10" s="2">
        <v>56343</v>
      </c>
      <c r="J10" s="3">
        <v>131</v>
      </c>
      <c r="K10" s="2" t="s">
        <v>25</v>
      </c>
      <c r="L10" s="2" t="s">
        <v>416</v>
      </c>
      <c r="M10" s="32" t="s">
        <v>416</v>
      </c>
      <c r="N10" s="2" t="s">
        <v>21</v>
      </c>
      <c r="O10" s="12">
        <f t="shared" si="0"/>
        <v>8.8019732205778709</v>
      </c>
      <c r="P10" t="str">
        <f t="shared" si="4"/>
        <v>Before</v>
      </c>
      <c r="Q10" s="11">
        <f t="shared" ca="1" si="1"/>
        <v>15.350731995347251</v>
      </c>
      <c r="R10" s="11">
        <f t="shared" ca="1" si="2"/>
        <v>10.635758853318011</v>
      </c>
      <c r="S10" s="35">
        <f t="shared" ca="1" si="3"/>
        <v>-0.30714972702658944</v>
      </c>
    </row>
    <row r="11" spans="1:24">
      <c r="A11" s="2" t="s">
        <v>47</v>
      </c>
      <c r="B11" s="2" t="s">
        <v>36</v>
      </c>
      <c r="C11" s="25">
        <v>45727</v>
      </c>
      <c r="D11" s="2" t="s">
        <v>43</v>
      </c>
      <c r="E11" s="2">
        <v>4241</v>
      </c>
      <c r="F11" s="2">
        <v>902</v>
      </c>
      <c r="G11" s="2">
        <v>47</v>
      </c>
      <c r="H11" s="3">
        <v>72097</v>
      </c>
      <c r="I11" s="2">
        <v>71598</v>
      </c>
      <c r="J11" s="3">
        <v>167</v>
      </c>
      <c r="K11" s="2" t="s">
        <v>25</v>
      </c>
      <c r="L11" s="2" t="s">
        <v>416</v>
      </c>
      <c r="M11" s="32" t="s">
        <v>416</v>
      </c>
      <c r="N11" s="2" t="s">
        <v>21</v>
      </c>
      <c r="O11" s="12">
        <f t="shared" si="0"/>
        <v>7.1986351720598645</v>
      </c>
      <c r="P11" t="str">
        <f t="shared" si="4"/>
        <v>Before</v>
      </c>
      <c r="Q11" s="11">
        <f t="shared" ca="1" si="1"/>
        <v>15.375259181769609</v>
      </c>
      <c r="R11" s="11">
        <f t="shared" ca="1" si="2"/>
        <v>10.635758853318011</v>
      </c>
      <c r="S11" s="35">
        <f t="shared" ca="1" si="3"/>
        <v>-0.3082549876018485</v>
      </c>
    </row>
    <row r="12" spans="1:24">
      <c r="A12" s="2" t="s">
        <v>49</v>
      </c>
      <c r="B12" s="2" t="s">
        <v>28</v>
      </c>
      <c r="C12" s="25">
        <v>45690</v>
      </c>
      <c r="D12" s="2" t="s">
        <v>29</v>
      </c>
      <c r="E12" s="2">
        <v>1792</v>
      </c>
      <c r="F12" s="2">
        <v>614</v>
      </c>
      <c r="G12" s="2">
        <v>497</v>
      </c>
      <c r="H12" s="3">
        <v>25088</v>
      </c>
      <c r="I12" s="2">
        <v>24675</v>
      </c>
      <c r="J12" s="3">
        <v>65</v>
      </c>
      <c r="K12" s="2" t="s">
        <v>50</v>
      </c>
      <c r="L12" s="2" t="s">
        <v>416</v>
      </c>
      <c r="M12" s="32" t="s">
        <v>416</v>
      </c>
      <c r="N12" s="2" t="s">
        <v>32</v>
      </c>
      <c r="O12" s="12">
        <f t="shared" si="0"/>
        <v>11.571269132653061</v>
      </c>
      <c r="P12" t="str">
        <f t="shared" si="4"/>
        <v>Before</v>
      </c>
      <c r="Q12" s="11">
        <f t="shared" ca="1" si="1"/>
        <v>15.405998369776034</v>
      </c>
      <c r="R12" s="11">
        <f t="shared" ca="1" si="2"/>
        <v>10.635758853318011</v>
      </c>
      <c r="S12" s="35">
        <f t="shared" ca="1" si="3"/>
        <v>-0.30963520844039727</v>
      </c>
    </row>
    <row r="13" spans="1:24">
      <c r="A13" s="2" t="s">
        <v>51</v>
      </c>
      <c r="B13" s="2" t="s">
        <v>36</v>
      </c>
      <c r="C13" s="25">
        <v>45494</v>
      </c>
      <c r="D13" s="2" t="s">
        <v>15</v>
      </c>
      <c r="E13" s="2">
        <v>1946</v>
      </c>
      <c r="F13" s="2">
        <v>686</v>
      </c>
      <c r="G13" s="2">
        <v>377</v>
      </c>
      <c r="H13" s="3">
        <v>23352</v>
      </c>
      <c r="I13" s="2">
        <v>22982</v>
      </c>
      <c r="J13" s="3">
        <v>213</v>
      </c>
      <c r="K13" s="2" t="s">
        <v>50</v>
      </c>
      <c r="L13" s="2" t="s">
        <v>416</v>
      </c>
      <c r="M13" s="32" t="s">
        <v>416</v>
      </c>
      <c r="N13" s="2" t="s">
        <v>26</v>
      </c>
      <c r="O13" s="12">
        <f t="shared" si="0"/>
        <v>12.885405960945528</v>
      </c>
      <c r="P13" t="str">
        <f t="shared" si="4"/>
        <v>Before</v>
      </c>
      <c r="Q13" s="11">
        <f t="shared" ca="1" si="1"/>
        <v>15.420469046142539</v>
      </c>
      <c r="R13" s="11">
        <f t="shared" ca="1" si="2"/>
        <v>10.635758853318011</v>
      </c>
      <c r="S13" s="35">
        <f t="shared" ca="1" si="3"/>
        <v>-0.3102830516054525</v>
      </c>
    </row>
    <row r="14" spans="1:24">
      <c r="A14" s="2" t="s">
        <v>53</v>
      </c>
      <c r="B14" s="2" t="s">
        <v>23</v>
      </c>
      <c r="C14" s="25">
        <v>45614</v>
      </c>
      <c r="D14" s="2" t="s">
        <v>38</v>
      </c>
      <c r="E14" s="2">
        <v>1171</v>
      </c>
      <c r="F14" s="2">
        <v>286</v>
      </c>
      <c r="G14" s="2">
        <v>231</v>
      </c>
      <c r="H14" s="3">
        <v>22249</v>
      </c>
      <c r="I14" s="2">
        <v>21282</v>
      </c>
      <c r="J14" s="3">
        <v>114</v>
      </c>
      <c r="K14" s="2" t="s">
        <v>31</v>
      </c>
      <c r="L14" s="2" t="s">
        <v>416</v>
      </c>
      <c r="M14" s="32" t="s">
        <v>416</v>
      </c>
      <c r="N14" s="2" t="s">
        <v>17</v>
      </c>
      <c r="O14" s="12">
        <f t="shared" si="0"/>
        <v>7.5868578363072494</v>
      </c>
      <c r="P14" t="str">
        <f t="shared" si="4"/>
        <v>Before</v>
      </c>
      <c r="Q14" s="11">
        <f t="shared" ca="1" si="1"/>
        <v>15.430071557828891</v>
      </c>
      <c r="R14" s="11">
        <f t="shared" ca="1" si="2"/>
        <v>10.635758853318011</v>
      </c>
      <c r="S14" s="35">
        <f t="shared" ca="1" si="3"/>
        <v>-0.31071227936583012</v>
      </c>
    </row>
    <row r="15" spans="1:24">
      <c r="A15" s="2" t="s">
        <v>55</v>
      </c>
      <c r="B15" s="2" t="s">
        <v>36</v>
      </c>
      <c r="C15" s="25">
        <v>45704</v>
      </c>
      <c r="D15" s="2" t="s">
        <v>29</v>
      </c>
      <c r="E15" s="2">
        <v>4242</v>
      </c>
      <c r="F15" s="2">
        <v>555</v>
      </c>
      <c r="G15" s="2">
        <v>131</v>
      </c>
      <c r="H15" s="3">
        <v>33936</v>
      </c>
      <c r="I15" s="2">
        <v>33802</v>
      </c>
      <c r="J15" s="3">
        <v>265</v>
      </c>
      <c r="K15" s="2" t="s">
        <v>50</v>
      </c>
      <c r="L15" s="2" t="s">
        <v>416</v>
      </c>
      <c r="M15" s="32" t="s">
        <v>416</v>
      </c>
      <c r="O15" s="12">
        <f t="shared" si="0"/>
        <v>14.521452145214523</v>
      </c>
      <c r="P15" t="str">
        <f t="shared" si="4"/>
        <v>Before</v>
      </c>
      <c r="Q15" s="11">
        <f t="shared" ca="1" si="1"/>
        <v>15.459893663233917</v>
      </c>
      <c r="R15" s="11">
        <f t="shared" ca="1" si="2"/>
        <v>10.635758853318011</v>
      </c>
      <c r="S15" s="35">
        <f t="shared" ca="1" si="3"/>
        <v>-0.31204191406493725</v>
      </c>
    </row>
    <row r="16" spans="1:24">
      <c r="A16" s="2" t="s">
        <v>57</v>
      </c>
      <c r="B16" s="2" t="s">
        <v>36</v>
      </c>
      <c r="C16" s="25">
        <v>45589</v>
      </c>
      <c r="D16" s="2" t="s">
        <v>58</v>
      </c>
      <c r="E16" s="2">
        <v>3888</v>
      </c>
      <c r="F16" s="2">
        <v>604</v>
      </c>
      <c r="G16" s="2">
        <v>128</v>
      </c>
      <c r="H16" s="3">
        <v>77760</v>
      </c>
      <c r="I16" s="2">
        <v>77167</v>
      </c>
      <c r="J16" s="3">
        <v>20</v>
      </c>
      <c r="K16" s="2" t="s">
        <v>50</v>
      </c>
      <c r="L16" s="2" t="s">
        <v>416</v>
      </c>
      <c r="M16" s="32" t="s">
        <v>416</v>
      </c>
      <c r="N16" s="2" t="s">
        <v>17</v>
      </c>
      <c r="O16" s="12">
        <f t="shared" si="0"/>
        <v>5.9413580246913584</v>
      </c>
      <c r="P16" t="str">
        <f t="shared" si="4"/>
        <v>Before</v>
      </c>
      <c r="Q16" s="11">
        <f t="shared" ca="1" si="1"/>
        <v>15.463475501088954</v>
      </c>
      <c r="R16" s="11">
        <f t="shared" ca="1" si="2"/>
        <v>10.635758853318011</v>
      </c>
      <c r="S16" s="35">
        <f t="shared" ca="1" si="3"/>
        <v>-0.31220126726562669</v>
      </c>
    </row>
    <row r="17" spans="1:19">
      <c r="A17" s="2" t="s">
        <v>60</v>
      </c>
      <c r="B17" s="2" t="s">
        <v>36</v>
      </c>
      <c r="C17" s="25">
        <v>45530</v>
      </c>
      <c r="D17" s="2" t="s">
        <v>19</v>
      </c>
      <c r="E17" s="2">
        <v>3452</v>
      </c>
      <c r="F17" s="2">
        <v>377</v>
      </c>
      <c r="G17" s="2">
        <v>360</v>
      </c>
      <c r="H17" s="3">
        <v>55232</v>
      </c>
      <c r="I17" s="2">
        <v>55075</v>
      </c>
      <c r="J17" s="3">
        <v>87</v>
      </c>
      <c r="K17" s="2" t="s">
        <v>50</v>
      </c>
      <c r="L17" s="2" t="s">
        <v>416</v>
      </c>
      <c r="M17" s="32" t="s">
        <v>416</v>
      </c>
      <c r="N17" s="2" t="s">
        <v>26</v>
      </c>
      <c r="O17" s="12">
        <f t="shared" si="0"/>
        <v>7.5843713789107756</v>
      </c>
      <c r="P17" t="str">
        <f t="shared" si="4"/>
        <v>Before</v>
      </c>
      <c r="Q17" s="11">
        <f t="shared" ca="1" si="1"/>
        <v>15.499958709810782</v>
      </c>
      <c r="R17" s="11">
        <f t="shared" ca="1" si="2"/>
        <v>10.635758853318011</v>
      </c>
      <c r="S17" s="35">
        <f t="shared" ca="1" si="3"/>
        <v>-0.31382018156048053</v>
      </c>
    </row>
    <row r="18" spans="1:19">
      <c r="A18" s="2" t="s">
        <v>61</v>
      </c>
      <c r="B18" s="2" t="s">
        <v>36</v>
      </c>
      <c r="C18" s="25">
        <v>45782</v>
      </c>
      <c r="D18" s="2" t="s">
        <v>19</v>
      </c>
      <c r="E18" s="2">
        <v>4441</v>
      </c>
      <c r="F18" s="2">
        <v>511</v>
      </c>
      <c r="G18" s="2">
        <v>70</v>
      </c>
      <c r="H18" s="3">
        <v>53292</v>
      </c>
      <c r="I18" s="2">
        <v>53082</v>
      </c>
      <c r="J18" s="3">
        <v>159</v>
      </c>
      <c r="K18" s="2" t="s">
        <v>31</v>
      </c>
      <c r="L18" s="2" t="s">
        <v>416</v>
      </c>
      <c r="M18" s="32" t="s">
        <v>416</v>
      </c>
      <c r="N18" s="2" t="s">
        <v>32</v>
      </c>
      <c r="O18" s="12">
        <f t="shared" si="0"/>
        <v>9.4235532537716722</v>
      </c>
      <c r="P18" t="str">
        <f t="shared" si="4"/>
        <v>Before</v>
      </c>
      <c r="Q18" s="11">
        <f t="shared" ca="1" si="1"/>
        <v>15.530403276468093</v>
      </c>
      <c r="R18" s="11">
        <f t="shared" ca="1" si="2"/>
        <v>10.635758853318011</v>
      </c>
      <c r="S18" s="35">
        <f t="shared" ca="1" si="3"/>
        <v>-0.31516531386963548</v>
      </c>
    </row>
    <row r="19" spans="1:19">
      <c r="A19" s="2" t="s">
        <v>62</v>
      </c>
      <c r="B19" s="2" t="s">
        <v>28</v>
      </c>
      <c r="C19" s="25">
        <v>45523</v>
      </c>
      <c r="D19" s="2" t="s">
        <v>15</v>
      </c>
      <c r="E19" s="2">
        <v>3000</v>
      </c>
      <c r="F19" s="2">
        <v>382</v>
      </c>
      <c r="G19" s="2">
        <v>325</v>
      </c>
      <c r="H19" s="3">
        <v>36000</v>
      </c>
      <c r="I19" s="2">
        <v>35819</v>
      </c>
      <c r="J19" s="3">
        <v>19</v>
      </c>
      <c r="K19" s="2" t="s">
        <v>50</v>
      </c>
      <c r="L19" s="2" t="s">
        <v>416</v>
      </c>
      <c r="M19" s="32" t="s">
        <v>416</v>
      </c>
      <c r="N19" s="2" t="s">
        <v>17</v>
      </c>
      <c r="O19" s="12">
        <f t="shared" si="0"/>
        <v>10.297222222222222</v>
      </c>
      <c r="P19" t="str">
        <f t="shared" si="4"/>
        <v>Before</v>
      </c>
      <c r="Q19" s="11">
        <f t="shared" ca="1" si="1"/>
        <v>15.553981847984293</v>
      </c>
      <c r="R19" s="11">
        <f t="shared" ca="1" si="2"/>
        <v>10.635758853318011</v>
      </c>
      <c r="S19" s="35">
        <f t="shared" ca="1" si="3"/>
        <v>-0.31620346755796525</v>
      </c>
    </row>
    <row r="20" spans="1:19">
      <c r="A20" s="2" t="s">
        <v>64</v>
      </c>
      <c r="B20" s="2" t="s">
        <v>28</v>
      </c>
      <c r="C20" s="25">
        <v>45466</v>
      </c>
      <c r="D20" s="2" t="s">
        <v>58</v>
      </c>
      <c r="E20" s="2">
        <v>1071</v>
      </c>
      <c r="F20" s="2">
        <v>519</v>
      </c>
      <c r="G20" s="2">
        <v>22</v>
      </c>
      <c r="H20" s="3">
        <v>16065</v>
      </c>
      <c r="I20" s="2">
        <v>15865</v>
      </c>
      <c r="J20" s="3">
        <v>103</v>
      </c>
      <c r="K20" s="2" t="s">
        <v>25</v>
      </c>
      <c r="L20" s="2" t="s">
        <v>416</v>
      </c>
      <c r="M20" s="32" t="s">
        <v>416</v>
      </c>
      <c r="N20" s="2" t="s">
        <v>32</v>
      </c>
      <c r="O20" s="12">
        <f t="shared" si="0"/>
        <v>10.034235916588857</v>
      </c>
      <c r="P20" t="str">
        <f t="shared" si="4"/>
        <v>During</v>
      </c>
      <c r="Q20" s="11">
        <f t="shared" ca="1" si="1"/>
        <v>15.574356885293447</v>
      </c>
      <c r="R20" s="11">
        <f t="shared" ca="1" si="2"/>
        <v>10.635758853318011</v>
      </c>
      <c r="S20" s="35">
        <f t="shared" ca="1" si="3"/>
        <v>-0.31709803931864788</v>
      </c>
    </row>
    <row r="21" spans="1:19">
      <c r="A21" s="2" t="s">
        <v>66</v>
      </c>
      <c r="B21" s="2" t="s">
        <v>28</v>
      </c>
      <c r="C21" s="25">
        <v>45544</v>
      </c>
      <c r="D21" s="2" t="s">
        <v>38</v>
      </c>
      <c r="E21" s="2">
        <v>4054</v>
      </c>
      <c r="F21" s="2">
        <v>488</v>
      </c>
      <c r="G21" s="2">
        <v>373</v>
      </c>
      <c r="H21" s="3">
        <v>77026</v>
      </c>
      <c r="I21" s="2">
        <v>76881</v>
      </c>
      <c r="J21" s="3">
        <v>25</v>
      </c>
      <c r="K21" s="2" t="s">
        <v>25</v>
      </c>
      <c r="L21" s="2" t="s">
        <v>416</v>
      </c>
      <c r="M21" s="32" t="s">
        <v>416</v>
      </c>
      <c r="N21" s="2" t="s">
        <v>17</v>
      </c>
      <c r="O21" s="12">
        <f t="shared" si="0"/>
        <v>6.3809622724794224</v>
      </c>
      <c r="P21" t="str">
        <f t="shared" si="4"/>
        <v>Before</v>
      </c>
      <c r="Q21" s="11">
        <f t="shared" ca="1" si="1"/>
        <v>15.574356885293447</v>
      </c>
      <c r="R21" s="11">
        <f t="shared" ca="1" si="2"/>
        <v>10.661912024480149</v>
      </c>
      <c r="S21" s="35">
        <f t="shared" ca="1" si="3"/>
        <v>-0.31541879366152331</v>
      </c>
    </row>
    <row r="22" spans="1:19">
      <c r="A22" s="2" t="s">
        <v>68</v>
      </c>
      <c r="B22" s="2" t="s">
        <v>28</v>
      </c>
      <c r="C22" s="25">
        <v>45661</v>
      </c>
      <c r="D22" s="2" t="s">
        <v>15</v>
      </c>
      <c r="E22" s="2">
        <v>4838</v>
      </c>
      <c r="F22" s="2">
        <v>640</v>
      </c>
      <c r="G22" s="2">
        <v>128</v>
      </c>
      <c r="H22" s="3">
        <v>72570</v>
      </c>
      <c r="I22" s="2">
        <v>72396</v>
      </c>
      <c r="J22" s="3">
        <v>83</v>
      </c>
      <c r="K22" s="2" t="s">
        <v>50</v>
      </c>
      <c r="L22" s="2" t="s">
        <v>416</v>
      </c>
      <c r="M22" s="32" t="s">
        <v>416</v>
      </c>
      <c r="N22" s="2" t="s">
        <v>32</v>
      </c>
      <c r="O22" s="12">
        <f t="shared" si="0"/>
        <v>7.7249552156538517</v>
      </c>
      <c r="P22" t="str">
        <f t="shared" si="4"/>
        <v>Before</v>
      </c>
      <c r="Q22" s="11">
        <f t="shared" ca="1" si="1"/>
        <v>15.610128848767431</v>
      </c>
      <c r="R22" s="11">
        <f t="shared" ca="1" si="2"/>
        <v>10.661912024480149</v>
      </c>
      <c r="S22" s="35">
        <f t="shared" ca="1" si="3"/>
        <v>-0.31698757084109475</v>
      </c>
    </row>
    <row r="23" spans="1:19">
      <c r="A23" s="2" t="s">
        <v>69</v>
      </c>
      <c r="B23" s="2" t="s">
        <v>36</v>
      </c>
      <c r="C23" s="25">
        <v>45715</v>
      </c>
      <c r="D23" s="2" t="s">
        <v>19</v>
      </c>
      <c r="E23" s="2">
        <v>1570</v>
      </c>
      <c r="F23" s="2">
        <v>187</v>
      </c>
      <c r="G23" s="2">
        <v>260</v>
      </c>
      <c r="H23" s="3">
        <v>25120</v>
      </c>
      <c r="I23" s="2">
        <v>24613</v>
      </c>
      <c r="J23" s="3">
        <v>133</v>
      </c>
      <c r="K23" s="2" t="s">
        <v>25</v>
      </c>
      <c r="L23" s="2" t="s">
        <v>416</v>
      </c>
      <c r="M23" s="32" t="s">
        <v>416</v>
      </c>
      <c r="N23" s="2" t="s">
        <v>32</v>
      </c>
      <c r="O23" s="12">
        <f t="shared" si="0"/>
        <v>8.0294585987261158</v>
      </c>
      <c r="P23" t="str">
        <f t="shared" si="4"/>
        <v>Before</v>
      </c>
      <c r="Q23" s="11">
        <f t="shared" ca="1" si="1"/>
        <v>15.640930308271782</v>
      </c>
      <c r="R23" s="11">
        <f t="shared" ca="1" si="2"/>
        <v>10.661912024480149</v>
      </c>
      <c r="S23" s="35">
        <f t="shared" ca="1" si="3"/>
        <v>-0.31833261741205099</v>
      </c>
    </row>
    <row r="24" spans="1:19">
      <c r="A24" s="2" t="s">
        <v>70</v>
      </c>
      <c r="B24" s="2" t="s">
        <v>36</v>
      </c>
      <c r="C24" s="25">
        <v>45602</v>
      </c>
      <c r="D24" s="2" t="s">
        <v>58</v>
      </c>
      <c r="E24" s="2">
        <v>1606</v>
      </c>
      <c r="F24" s="2">
        <v>547</v>
      </c>
      <c r="G24" s="2">
        <v>316</v>
      </c>
      <c r="H24" s="3">
        <v>32120</v>
      </c>
      <c r="I24" s="2">
        <v>31736</v>
      </c>
      <c r="J24" s="3">
        <v>225</v>
      </c>
      <c r="K24" s="2" t="s">
        <v>25</v>
      </c>
      <c r="L24" s="2" t="s">
        <v>386</v>
      </c>
      <c r="M24" s="32" t="s">
        <v>416</v>
      </c>
      <c r="N24" s="2" t="s">
        <v>21</v>
      </c>
      <c r="O24" s="12">
        <f t="shared" si="0"/>
        <v>7.6867995018679958</v>
      </c>
      <c r="P24" t="str">
        <f t="shared" si="4"/>
        <v>Before</v>
      </c>
      <c r="Q24" s="11">
        <f t="shared" ca="1" si="1"/>
        <v>15.670779216936669</v>
      </c>
      <c r="R24" s="11">
        <f t="shared" ca="1" si="2"/>
        <v>10.661912024480149</v>
      </c>
      <c r="S24" s="35">
        <f t="shared" ca="1" si="3"/>
        <v>-0.31963102300892832</v>
      </c>
    </row>
    <row r="25" spans="1:19">
      <c r="A25" s="2" t="s">
        <v>71</v>
      </c>
      <c r="B25" s="2" t="s">
        <v>36</v>
      </c>
      <c r="C25" s="25">
        <v>45680</v>
      </c>
      <c r="D25" s="2" t="s">
        <v>58</v>
      </c>
      <c r="E25" s="2">
        <v>3961</v>
      </c>
      <c r="F25" s="2">
        <v>761</v>
      </c>
      <c r="G25" s="2">
        <v>131</v>
      </c>
      <c r="H25" s="3">
        <v>67337</v>
      </c>
      <c r="I25" s="2">
        <v>66615</v>
      </c>
      <c r="J25" s="3">
        <v>161</v>
      </c>
      <c r="K25" s="2" t="s">
        <v>50</v>
      </c>
      <c r="L25" s="2" t="s">
        <v>416</v>
      </c>
      <c r="M25" s="32" t="s">
        <v>416</v>
      </c>
      <c r="N25" s="2" t="s">
        <v>26</v>
      </c>
      <c r="O25" s="12">
        <f t="shared" si="0"/>
        <v>7.2070332803659207</v>
      </c>
      <c r="P25" t="str">
        <f t="shared" si="4"/>
        <v>Before</v>
      </c>
      <c r="Q25" s="11">
        <f t="shared" ca="1" si="1"/>
        <v>15.702212207940875</v>
      </c>
      <c r="R25" s="11">
        <f t="shared" ca="1" si="2"/>
        <v>10.661912024480149</v>
      </c>
      <c r="S25" s="35">
        <f t="shared" ca="1" si="3"/>
        <v>-0.32099299873885034</v>
      </c>
    </row>
    <row r="26" spans="1:19">
      <c r="A26" s="2" t="s">
        <v>72</v>
      </c>
      <c r="B26" s="2" t="s">
        <v>14</v>
      </c>
      <c r="C26" s="25">
        <v>45757</v>
      </c>
      <c r="D26" s="2" t="s">
        <v>38</v>
      </c>
      <c r="E26" s="2">
        <v>3128</v>
      </c>
      <c r="F26" s="2">
        <v>211</v>
      </c>
      <c r="G26" s="2">
        <v>197</v>
      </c>
      <c r="H26" s="3">
        <v>59432</v>
      </c>
      <c r="I26" s="2">
        <v>59182</v>
      </c>
      <c r="J26" s="3">
        <v>238</v>
      </c>
      <c r="K26" s="2" t="s">
        <v>31</v>
      </c>
      <c r="L26" s="2" t="s">
        <v>416</v>
      </c>
      <c r="M26" s="32" t="s">
        <v>416</v>
      </c>
      <c r="O26" s="12">
        <f t="shared" si="0"/>
        <v>5.9496567505720828</v>
      </c>
      <c r="P26" t="str">
        <f t="shared" si="4"/>
        <v>Before</v>
      </c>
      <c r="Q26" s="11">
        <f t="shared" ca="1" si="1"/>
        <v>15.735789990263308</v>
      </c>
      <c r="R26" s="11">
        <f t="shared" ca="1" si="2"/>
        <v>10.661912024480149</v>
      </c>
      <c r="S26" s="35">
        <f t="shared" ca="1" si="3"/>
        <v>-0.32244189639812665</v>
      </c>
    </row>
    <row r="27" spans="1:19">
      <c r="A27" s="2" t="s">
        <v>73</v>
      </c>
      <c r="B27" s="2" t="s">
        <v>23</v>
      </c>
      <c r="C27" s="25">
        <v>45752</v>
      </c>
      <c r="D27" s="2" t="s">
        <v>15</v>
      </c>
      <c r="E27" s="2">
        <v>3009</v>
      </c>
      <c r="F27" s="2">
        <v>413</v>
      </c>
      <c r="G27" s="2">
        <v>358</v>
      </c>
      <c r="H27" s="3">
        <v>42126</v>
      </c>
      <c r="I27" s="2">
        <v>41309</v>
      </c>
      <c r="J27" s="3">
        <v>211</v>
      </c>
      <c r="K27" s="2" t="s">
        <v>50</v>
      </c>
      <c r="L27" s="2" t="s">
        <v>416</v>
      </c>
      <c r="M27" s="32" t="s">
        <v>416</v>
      </c>
      <c r="N27" s="2" t="s">
        <v>21</v>
      </c>
      <c r="O27" s="12">
        <f t="shared" si="0"/>
        <v>8.9730807577268195</v>
      </c>
      <c r="P27" t="str">
        <f t="shared" si="4"/>
        <v>Before</v>
      </c>
      <c r="Q27" s="11">
        <f t="shared" ca="1" si="1"/>
        <v>15.774623852325576</v>
      </c>
      <c r="R27" s="11">
        <f t="shared" ca="1" si="2"/>
        <v>10.661912024480149</v>
      </c>
      <c r="S27" s="35">
        <f t="shared" ca="1" si="3"/>
        <v>-0.32410990434435522</v>
      </c>
    </row>
    <row r="28" spans="1:19">
      <c r="A28" s="2" t="s">
        <v>74</v>
      </c>
      <c r="B28" s="2" t="s">
        <v>23</v>
      </c>
      <c r="C28" s="25">
        <v>45552</v>
      </c>
      <c r="D28" s="2" t="s">
        <v>19</v>
      </c>
      <c r="E28" s="2">
        <v>2076</v>
      </c>
      <c r="F28" s="2">
        <v>195</v>
      </c>
      <c r="G28" s="2">
        <v>104</v>
      </c>
      <c r="H28" s="3">
        <v>33216</v>
      </c>
      <c r="I28" s="2">
        <v>32244</v>
      </c>
      <c r="J28" s="3">
        <v>51</v>
      </c>
      <c r="K28" s="2" t="s">
        <v>50</v>
      </c>
      <c r="L28" s="2" t="s">
        <v>416</v>
      </c>
      <c r="M28" s="32" t="s">
        <v>416</v>
      </c>
      <c r="N28" s="2" t="s">
        <v>32</v>
      </c>
      <c r="O28" s="12">
        <f t="shared" si="0"/>
        <v>7.1501685934489396</v>
      </c>
      <c r="P28" t="str">
        <f t="shared" si="4"/>
        <v>Before</v>
      </c>
      <c r="Q28" s="11">
        <f t="shared" ca="1" si="1"/>
        <v>15.801721633578955</v>
      </c>
      <c r="R28" s="11">
        <f t="shared" ca="1" si="2"/>
        <v>10.661912024480149</v>
      </c>
      <c r="S28" s="35">
        <f t="shared" ca="1" si="3"/>
        <v>-0.32526896298290781</v>
      </c>
    </row>
    <row r="29" spans="1:19">
      <c r="A29" s="2" t="s">
        <v>76</v>
      </c>
      <c r="B29" s="2" t="s">
        <v>28</v>
      </c>
      <c r="C29" s="25">
        <v>45720</v>
      </c>
      <c r="D29" s="2" t="s">
        <v>58</v>
      </c>
      <c r="E29" s="2">
        <v>432</v>
      </c>
      <c r="F29" s="2">
        <v>624</v>
      </c>
      <c r="G29" s="2">
        <v>123</v>
      </c>
      <c r="H29" s="3">
        <v>6912</v>
      </c>
      <c r="I29" s="2">
        <v>6259</v>
      </c>
      <c r="J29" s="3">
        <v>79</v>
      </c>
      <c r="K29" s="2" t="s">
        <v>50</v>
      </c>
      <c r="L29" s="2" t="s">
        <v>416</v>
      </c>
      <c r="M29" s="32" t="s">
        <v>416</v>
      </c>
      <c r="N29" s="2" t="s">
        <v>32</v>
      </c>
      <c r="O29" s="12">
        <f t="shared" si="0"/>
        <v>17.057291666666664</v>
      </c>
      <c r="P29" t="str">
        <f t="shared" si="4"/>
        <v>Before</v>
      </c>
      <c r="Q29" s="11">
        <f t="shared" ca="1" si="1"/>
        <v>15.836327845739476</v>
      </c>
      <c r="R29" s="11">
        <f t="shared" ca="1" si="2"/>
        <v>10.661912024480149</v>
      </c>
      <c r="S29" s="35">
        <f t="shared" ca="1" si="3"/>
        <v>-0.32674341372968135</v>
      </c>
    </row>
    <row r="30" spans="1:19">
      <c r="A30" s="2" t="s">
        <v>77</v>
      </c>
      <c r="B30" s="2" t="s">
        <v>28</v>
      </c>
      <c r="C30" s="25">
        <v>45688</v>
      </c>
      <c r="D30" s="2" t="s">
        <v>38</v>
      </c>
      <c r="E30" s="2">
        <v>2566</v>
      </c>
      <c r="F30" s="2">
        <v>118</v>
      </c>
      <c r="G30" s="2">
        <v>37</v>
      </c>
      <c r="H30" s="3">
        <v>12830</v>
      </c>
      <c r="I30" s="2">
        <v>12264</v>
      </c>
      <c r="J30" s="3">
        <v>221</v>
      </c>
      <c r="K30" s="2" t="s">
        <v>50</v>
      </c>
      <c r="L30" s="2" t="s">
        <v>416</v>
      </c>
      <c r="M30" s="32" t="s">
        <v>416</v>
      </c>
      <c r="N30" s="2" t="s">
        <v>26</v>
      </c>
      <c r="O30" s="12">
        <f t="shared" si="0"/>
        <v>21.208106001558846</v>
      </c>
      <c r="P30" t="str">
        <f t="shared" si="4"/>
        <v>Before</v>
      </c>
      <c r="Q30" s="11">
        <f t="shared" ca="1" si="1"/>
        <v>15.831424376579124</v>
      </c>
      <c r="R30" s="11">
        <f t="shared" ca="1" si="2"/>
        <v>10.661912024480149</v>
      </c>
      <c r="S30" s="35">
        <f ca="1">(R30-Q30)/Q30</f>
        <v>-0.32653488587841206</v>
      </c>
    </row>
    <row r="31" spans="1:19">
      <c r="A31" s="2" t="s">
        <v>78</v>
      </c>
      <c r="B31" s="2" t="s">
        <v>28</v>
      </c>
      <c r="C31" s="25">
        <v>45713</v>
      </c>
      <c r="D31" s="2" t="s">
        <v>58</v>
      </c>
      <c r="E31" s="2">
        <v>3095</v>
      </c>
      <c r="F31" s="2">
        <v>39</v>
      </c>
      <c r="G31" s="2">
        <v>78</v>
      </c>
      <c r="H31" s="3">
        <v>55710</v>
      </c>
      <c r="I31" s="2">
        <v>54808</v>
      </c>
      <c r="J31" s="3">
        <v>93</v>
      </c>
      <c r="K31" s="2" t="s">
        <v>31</v>
      </c>
      <c r="L31" s="2" t="s">
        <v>416</v>
      </c>
      <c r="M31" s="32" t="s">
        <v>416</v>
      </c>
      <c r="O31" s="12">
        <f t="shared" si="0"/>
        <v>5.7655717106444087</v>
      </c>
      <c r="P31" t="str">
        <f t="shared" si="4"/>
        <v>Before</v>
      </c>
      <c r="Q31" s="11">
        <f t="shared" ca="1" si="1"/>
        <v>15.809744208736463</v>
      </c>
      <c r="R31" s="11">
        <f t="shared" ca="1" si="2"/>
        <v>10.661912024480149</v>
      </c>
      <c r="S31" s="35">
        <f t="shared" ca="1" si="3"/>
        <v>-0.32561135185296819</v>
      </c>
    </row>
    <row r="32" spans="1:19">
      <c r="A32" s="2" t="s">
        <v>79</v>
      </c>
      <c r="B32" s="2" t="s">
        <v>28</v>
      </c>
      <c r="C32" s="25">
        <v>45642</v>
      </c>
      <c r="D32" s="2" t="s">
        <v>19</v>
      </c>
      <c r="E32" s="2">
        <v>438</v>
      </c>
      <c r="F32" s="2">
        <v>153</v>
      </c>
      <c r="G32" s="2">
        <v>275</v>
      </c>
      <c r="H32" s="3">
        <v>3066</v>
      </c>
      <c r="I32" s="2">
        <v>2701</v>
      </c>
      <c r="J32" s="3">
        <v>282</v>
      </c>
      <c r="K32" s="2" t="s">
        <v>25</v>
      </c>
      <c r="L32" s="2" t="s">
        <v>416</v>
      </c>
      <c r="M32" s="32" t="s">
        <v>416</v>
      </c>
      <c r="N32" s="2" t="s">
        <v>21</v>
      </c>
      <c r="O32" s="12">
        <f t="shared" si="0"/>
        <v>28.245270711024133</v>
      </c>
      <c r="P32" t="str">
        <f t="shared" si="4"/>
        <v>Before</v>
      </c>
      <c r="Q32" s="11">
        <f t="shared" ca="1" si="1"/>
        <v>15.850408874720641</v>
      </c>
      <c r="R32" s="11">
        <f t="shared" ca="1" si="2"/>
        <v>10.661912024480149</v>
      </c>
      <c r="S32" s="35">
        <f t="shared" ca="1" si="3"/>
        <v>-0.32734151473628392</v>
      </c>
    </row>
    <row r="33" spans="1:19">
      <c r="A33" s="2" t="s">
        <v>81</v>
      </c>
      <c r="B33" s="2" t="s">
        <v>14</v>
      </c>
      <c r="C33" s="25">
        <v>45504</v>
      </c>
      <c r="D33" s="2" t="s">
        <v>38</v>
      </c>
      <c r="E33" s="2">
        <v>2278</v>
      </c>
      <c r="F33" s="2">
        <v>10</v>
      </c>
      <c r="G33" s="2">
        <v>321</v>
      </c>
      <c r="H33" s="3">
        <v>13668</v>
      </c>
      <c r="I33" s="2">
        <v>12676</v>
      </c>
      <c r="J33" s="3">
        <v>275</v>
      </c>
      <c r="K33" s="2" t="s">
        <v>31</v>
      </c>
      <c r="L33" s="2" t="s">
        <v>416</v>
      </c>
      <c r="M33" s="32" t="s">
        <v>416</v>
      </c>
      <c r="N33" s="2" t="s">
        <v>17</v>
      </c>
      <c r="O33" s="12">
        <f t="shared" si="0"/>
        <v>19.088381621305238</v>
      </c>
      <c r="P33" t="str">
        <f t="shared" si="4"/>
        <v>Before</v>
      </c>
      <c r="Q33" s="11">
        <f t="shared" ca="1" si="1"/>
        <v>15.800023257499895</v>
      </c>
      <c r="R33" s="11">
        <f t="shared" ca="1" si="2"/>
        <v>10.661912024480149</v>
      </c>
      <c r="S33" s="35">
        <f t="shared" ca="1" si="3"/>
        <v>-0.32519643479517074</v>
      </c>
    </row>
    <row r="34" spans="1:19">
      <c r="A34" s="2" t="s">
        <v>82</v>
      </c>
      <c r="B34" s="2" t="s">
        <v>36</v>
      </c>
      <c r="C34" s="25">
        <v>45525</v>
      </c>
      <c r="D34" s="2" t="s">
        <v>43</v>
      </c>
      <c r="E34" s="2">
        <v>1407</v>
      </c>
      <c r="F34" s="2">
        <v>400</v>
      </c>
      <c r="G34" s="2">
        <v>351</v>
      </c>
      <c r="H34" s="3">
        <v>16884</v>
      </c>
      <c r="I34" s="2">
        <v>15954</v>
      </c>
      <c r="J34" s="3">
        <v>113</v>
      </c>
      <c r="K34" s="2" t="s">
        <v>25</v>
      </c>
      <c r="L34" s="2" t="s">
        <v>416</v>
      </c>
      <c r="M34" s="32" t="s">
        <v>416</v>
      </c>
      <c r="N34" s="2" t="s">
        <v>17</v>
      </c>
      <c r="O34" s="12">
        <f t="shared" si="0"/>
        <v>12.781331438047856</v>
      </c>
      <c r="P34" t="str">
        <f t="shared" si="4"/>
        <v>Before</v>
      </c>
      <c r="Q34" s="11">
        <f t="shared" ca="1" si="1"/>
        <v>15.786601386627224</v>
      </c>
      <c r="R34" s="11">
        <f t="shared" ca="1" si="2"/>
        <v>10.661912024480149</v>
      </c>
      <c r="S34" s="35">
        <f t="shared" ca="1" si="3"/>
        <v>-0.32462271242803292</v>
      </c>
    </row>
    <row r="35" spans="1:19">
      <c r="A35" s="2" t="s">
        <v>83</v>
      </c>
      <c r="B35" s="2" t="s">
        <v>36</v>
      </c>
      <c r="C35" s="25">
        <v>45742</v>
      </c>
      <c r="D35" s="2" t="s">
        <v>19</v>
      </c>
      <c r="E35" s="2">
        <v>1652</v>
      </c>
      <c r="F35" s="2">
        <v>89</v>
      </c>
      <c r="G35" s="2">
        <v>357</v>
      </c>
      <c r="H35" s="3">
        <v>29736</v>
      </c>
      <c r="I35" s="2">
        <v>28771</v>
      </c>
      <c r="J35" s="3">
        <v>215</v>
      </c>
      <c r="K35" s="2" t="s">
        <v>25</v>
      </c>
      <c r="L35" s="2" t="s">
        <v>416</v>
      </c>
      <c r="M35" s="32" t="s">
        <v>416</v>
      </c>
      <c r="N35" s="2" t="s">
        <v>26</v>
      </c>
      <c r="O35" s="12">
        <f t="shared" si="0"/>
        <v>7.0554210384718861</v>
      </c>
      <c r="P35" t="str">
        <f t="shared" si="4"/>
        <v>Before</v>
      </c>
      <c r="Q35" s="11">
        <f t="shared" ca="1" si="1"/>
        <v>15.798918066744351</v>
      </c>
      <c r="R35" s="11">
        <f t="shared" ca="1" si="2"/>
        <v>10.661912024480149</v>
      </c>
      <c r="S35" s="35">
        <f t="shared" ca="1" si="3"/>
        <v>-0.32514922987525652</v>
      </c>
    </row>
    <row r="36" spans="1:19">
      <c r="A36" s="2" t="s">
        <v>84</v>
      </c>
      <c r="B36" s="2" t="s">
        <v>28</v>
      </c>
      <c r="C36" s="25">
        <v>45626</v>
      </c>
      <c r="D36" s="2" t="s">
        <v>58</v>
      </c>
      <c r="E36" s="2">
        <v>3775</v>
      </c>
      <c r="F36" s="2">
        <v>16</v>
      </c>
      <c r="G36" s="2">
        <v>239</v>
      </c>
      <c r="H36" s="3">
        <v>33975</v>
      </c>
      <c r="I36" s="2">
        <v>33310</v>
      </c>
      <c r="J36" s="3">
        <v>271</v>
      </c>
      <c r="K36" s="2" t="s">
        <v>50</v>
      </c>
      <c r="L36" s="2" t="s">
        <v>416</v>
      </c>
      <c r="M36" s="32" t="s">
        <v>416</v>
      </c>
      <c r="N36" s="2" t="s">
        <v>21</v>
      </c>
      <c r="O36" s="12">
        <f t="shared" si="0"/>
        <v>11.861662987490803</v>
      </c>
      <c r="P36" t="str">
        <f t="shared" si="4"/>
        <v>Before</v>
      </c>
      <c r="Q36" s="11">
        <f t="shared" ca="1" si="1"/>
        <v>15.834899535996501</v>
      </c>
      <c r="R36" s="11">
        <f t="shared" ca="1" si="2"/>
        <v>10.661912024480149</v>
      </c>
      <c r="S36" s="35">
        <f t="shared" ca="1" si="3"/>
        <v>-0.3266826859088634</v>
      </c>
    </row>
    <row r="37" spans="1:19">
      <c r="A37" s="2" t="s">
        <v>85</v>
      </c>
      <c r="B37" s="2" t="s">
        <v>28</v>
      </c>
      <c r="C37" s="25">
        <v>45766</v>
      </c>
      <c r="D37" s="2" t="s">
        <v>29</v>
      </c>
      <c r="E37" s="2">
        <v>4518</v>
      </c>
      <c r="F37" s="2">
        <v>285</v>
      </c>
      <c r="G37" s="2">
        <v>383</v>
      </c>
      <c r="H37" s="3">
        <v>67770</v>
      </c>
      <c r="I37" s="2">
        <v>67621</v>
      </c>
      <c r="J37" s="3">
        <v>31</v>
      </c>
      <c r="K37" s="2" t="s">
        <v>31</v>
      </c>
      <c r="L37" s="2" t="s">
        <v>416</v>
      </c>
      <c r="M37" s="32" t="s">
        <v>416</v>
      </c>
      <c r="N37" s="2" t="s">
        <v>21</v>
      </c>
      <c r="O37" s="12">
        <f t="shared" si="0"/>
        <v>7.6523535487678913</v>
      </c>
      <c r="P37" t="str">
        <f t="shared" si="4"/>
        <v>Before</v>
      </c>
      <c r="Q37" s="11">
        <f t="shared" ca="1" si="1"/>
        <v>15.851317868841567</v>
      </c>
      <c r="R37" s="11">
        <f t="shared" ca="1" si="2"/>
        <v>10.661912024480149</v>
      </c>
      <c r="S37" s="35">
        <f t="shared" ca="1" si="3"/>
        <v>-0.32738008834975602</v>
      </c>
    </row>
    <row r="38" spans="1:19">
      <c r="A38" s="2" t="s">
        <v>86</v>
      </c>
      <c r="B38" s="2" t="s">
        <v>36</v>
      </c>
      <c r="C38" s="25">
        <v>45663</v>
      </c>
      <c r="D38" s="2" t="s">
        <v>38</v>
      </c>
      <c r="E38" s="2">
        <v>3024</v>
      </c>
      <c r="F38" s="2">
        <v>925</v>
      </c>
      <c r="G38" s="2">
        <v>350</v>
      </c>
      <c r="H38" s="3">
        <v>24192</v>
      </c>
      <c r="I38" s="2">
        <v>23518</v>
      </c>
      <c r="J38" s="3">
        <v>36</v>
      </c>
      <c r="K38" s="2" t="s">
        <v>31</v>
      </c>
      <c r="L38" s="2" t="s">
        <v>416</v>
      </c>
      <c r="M38" s="32" t="s">
        <v>416</v>
      </c>
      <c r="N38" s="2" t="s">
        <v>21</v>
      </c>
      <c r="O38" s="12">
        <f t="shared" si="0"/>
        <v>17.770337301587304</v>
      </c>
      <c r="P38" t="str">
        <f t="shared" si="4"/>
        <v>Before</v>
      </c>
      <c r="Q38" s="11">
        <f t="shared" ca="1" si="1"/>
        <v>15.885338467680045</v>
      </c>
      <c r="R38" s="11">
        <f t="shared" ca="1" si="2"/>
        <v>10.661912024480149</v>
      </c>
      <c r="S38" s="35">
        <f t="shared" ca="1" si="3"/>
        <v>-0.3288205947784722</v>
      </c>
    </row>
    <row r="39" spans="1:19">
      <c r="A39" s="2" t="s">
        <v>87</v>
      </c>
      <c r="B39" s="2" t="s">
        <v>23</v>
      </c>
      <c r="C39" s="25">
        <v>45705</v>
      </c>
      <c r="D39" s="2" t="s">
        <v>15</v>
      </c>
      <c r="E39" s="2">
        <v>3138</v>
      </c>
      <c r="F39" s="2">
        <v>123</v>
      </c>
      <c r="G39" s="2">
        <v>291</v>
      </c>
      <c r="H39" s="3">
        <v>28242</v>
      </c>
      <c r="I39" s="2">
        <v>27550</v>
      </c>
      <c r="J39" s="3">
        <v>87</v>
      </c>
      <c r="K39" s="2" t="s">
        <v>25</v>
      </c>
      <c r="L39" s="2" t="s">
        <v>416</v>
      </c>
      <c r="M39" s="32" t="s">
        <v>416</v>
      </c>
      <c r="N39" s="2" t="s">
        <v>32</v>
      </c>
      <c r="O39" s="12">
        <f t="shared" si="0"/>
        <v>12.577012959422138</v>
      </c>
      <c r="P39" t="str">
        <f t="shared" si="4"/>
        <v>Before</v>
      </c>
      <c r="Q39" s="11">
        <f t="shared" ca="1" si="1"/>
        <v>15.8774843058721</v>
      </c>
      <c r="R39" s="11">
        <f t="shared" ca="1" si="2"/>
        <v>10.661912024480149</v>
      </c>
      <c r="S39" s="35">
        <f t="shared" ca="1" si="3"/>
        <v>-0.3284885804902376</v>
      </c>
    </row>
    <row r="40" spans="1:19">
      <c r="A40" s="2" t="s">
        <v>88</v>
      </c>
      <c r="B40" s="2" t="s">
        <v>36</v>
      </c>
      <c r="C40" s="25">
        <v>45621</v>
      </c>
      <c r="D40" s="2" t="s">
        <v>43</v>
      </c>
      <c r="E40" s="2">
        <v>3564</v>
      </c>
      <c r="F40" s="2">
        <v>629</v>
      </c>
      <c r="G40" s="2">
        <v>177</v>
      </c>
      <c r="H40" s="3">
        <v>60588</v>
      </c>
      <c r="I40" s="2">
        <v>59627</v>
      </c>
      <c r="J40" s="3">
        <v>92</v>
      </c>
      <c r="K40" s="2" t="s">
        <v>25</v>
      </c>
      <c r="L40" s="2" t="s">
        <v>416</v>
      </c>
      <c r="M40" s="32" t="s">
        <v>416</v>
      </c>
      <c r="O40" s="12">
        <f t="shared" si="0"/>
        <v>7.2126493695121141</v>
      </c>
      <c r="P40" t="str">
        <f t="shared" si="4"/>
        <v>Before</v>
      </c>
      <c r="Q40" s="11">
        <f t="shared" ca="1" si="1"/>
        <v>15.891293809413728</v>
      </c>
      <c r="R40" s="11">
        <f t="shared" ca="1" si="2"/>
        <v>10.661912024480149</v>
      </c>
      <c r="S40" s="35">
        <f t="shared" ca="1" si="3"/>
        <v>-0.32907212261318736</v>
      </c>
    </row>
    <row r="41" spans="1:19">
      <c r="A41" s="2" t="s">
        <v>89</v>
      </c>
      <c r="B41" s="2" t="s">
        <v>14</v>
      </c>
      <c r="C41" s="25">
        <v>45723</v>
      </c>
      <c r="D41" s="2" t="s">
        <v>43</v>
      </c>
      <c r="E41" s="2">
        <v>4750</v>
      </c>
      <c r="F41" s="2">
        <v>151</v>
      </c>
      <c r="G41" s="2">
        <v>415</v>
      </c>
      <c r="H41" s="3">
        <v>38000</v>
      </c>
      <c r="I41" s="2">
        <v>37792</v>
      </c>
      <c r="J41" s="3">
        <v>299</v>
      </c>
      <c r="K41" s="2" t="s">
        <v>31</v>
      </c>
      <c r="L41" s="2" t="s">
        <v>416</v>
      </c>
      <c r="M41" s="32" t="s">
        <v>416</v>
      </c>
      <c r="N41" s="2" t="s">
        <v>32</v>
      </c>
      <c r="O41" s="12">
        <f t="shared" si="0"/>
        <v>13.989473684210527</v>
      </c>
      <c r="P41" t="str">
        <f t="shared" si="4"/>
        <v>Before</v>
      </c>
      <c r="Q41" s="11">
        <f t="shared" ca="1" si="1"/>
        <v>15.927758702018361</v>
      </c>
      <c r="R41" s="11">
        <f t="shared" ca="1" si="2"/>
        <v>10.661912024480149</v>
      </c>
      <c r="S41" s="35">
        <f t="shared" ca="1" si="3"/>
        <v>-0.33060813991807431</v>
      </c>
    </row>
    <row r="42" spans="1:19">
      <c r="A42" s="2" t="s">
        <v>91</v>
      </c>
      <c r="B42" s="2" t="s">
        <v>28</v>
      </c>
      <c r="C42" s="25">
        <v>45724</v>
      </c>
      <c r="D42" s="2" t="s">
        <v>15</v>
      </c>
      <c r="E42" s="2">
        <v>456</v>
      </c>
      <c r="F42" s="2">
        <v>629</v>
      </c>
      <c r="G42" s="2">
        <v>428</v>
      </c>
      <c r="H42" s="3">
        <v>8208</v>
      </c>
      <c r="I42" s="2">
        <v>7377</v>
      </c>
      <c r="J42" s="3">
        <v>205</v>
      </c>
      <c r="K42" s="2" t="s">
        <v>50</v>
      </c>
      <c r="L42" s="2" t="s">
        <v>416</v>
      </c>
      <c r="M42" s="32" t="s">
        <v>416</v>
      </c>
      <c r="N42" s="2" t="s">
        <v>32</v>
      </c>
      <c r="O42" s="12">
        <f t="shared" si="0"/>
        <v>18.433235867446392</v>
      </c>
      <c r="P42" t="str">
        <f t="shared" si="4"/>
        <v>Before</v>
      </c>
      <c r="Q42" s="11">
        <f t="shared" ca="1" si="1"/>
        <v>15.935937119815017</v>
      </c>
      <c r="R42" s="11">
        <f t="shared" ca="1" si="2"/>
        <v>10.661912024480149</v>
      </c>
      <c r="S42" s="35">
        <f t="shared" ca="1" si="3"/>
        <v>-0.33095167580556373</v>
      </c>
    </row>
    <row r="43" spans="1:19">
      <c r="A43" s="2" t="s">
        <v>92</v>
      </c>
      <c r="B43" s="2" t="s">
        <v>23</v>
      </c>
      <c r="C43" s="25">
        <v>45721</v>
      </c>
      <c r="D43" s="2" t="s">
        <v>15</v>
      </c>
      <c r="E43" s="2">
        <v>1543</v>
      </c>
      <c r="F43" s="2">
        <v>820</v>
      </c>
      <c r="G43" s="2">
        <v>333</v>
      </c>
      <c r="H43" s="3">
        <v>12344</v>
      </c>
      <c r="I43" s="2">
        <v>11496</v>
      </c>
      <c r="J43" s="3">
        <v>241</v>
      </c>
      <c r="K43" s="2" t="s">
        <v>31</v>
      </c>
      <c r="L43" s="2" t="s">
        <v>416</v>
      </c>
      <c r="M43" s="32" t="s">
        <v>416</v>
      </c>
      <c r="O43" s="12">
        <f t="shared" si="0"/>
        <v>21.840570317563188</v>
      </c>
      <c r="P43" t="str">
        <f t="shared" si="4"/>
        <v>Before</v>
      </c>
      <c r="Q43" s="11">
        <f t="shared" ca="1" si="1"/>
        <v>15.925355345460646</v>
      </c>
      <c r="R43" s="11">
        <f t="shared" ca="1" si="2"/>
        <v>10.661912024480149</v>
      </c>
      <c r="S43" s="35">
        <f t="shared" ca="1" si="3"/>
        <v>-0.33050711942077865</v>
      </c>
    </row>
    <row r="44" spans="1:19">
      <c r="A44" s="2" t="s">
        <v>93</v>
      </c>
      <c r="B44" s="2" t="s">
        <v>28</v>
      </c>
      <c r="C44" s="25">
        <v>45640</v>
      </c>
      <c r="D44" s="2" t="s">
        <v>38</v>
      </c>
      <c r="E44" s="2">
        <v>2174</v>
      </c>
      <c r="F44" s="2">
        <v>658</v>
      </c>
      <c r="G44" s="2">
        <v>15</v>
      </c>
      <c r="H44" s="3">
        <v>13044</v>
      </c>
      <c r="I44" s="2">
        <v>12206</v>
      </c>
      <c r="J44" s="3">
        <v>137</v>
      </c>
      <c r="K44" s="2" t="s">
        <v>25</v>
      </c>
      <c r="L44" s="2" t="s">
        <v>416</v>
      </c>
      <c r="M44" s="32" t="s">
        <v>416</v>
      </c>
      <c r="N44" s="2" t="s">
        <v>26</v>
      </c>
      <c r="O44" s="12">
        <f t="shared" si="0"/>
        <v>21.826126954921804</v>
      </c>
      <c r="P44" t="str">
        <f t="shared" si="4"/>
        <v>Before</v>
      </c>
      <c r="Q44" s="11">
        <f t="shared" ca="1" si="1"/>
        <v>15.900184217919785</v>
      </c>
      <c r="R44" s="11">
        <f t="shared" ca="1" si="2"/>
        <v>10.661912024480149</v>
      </c>
      <c r="S44" s="35">
        <f t="shared" ca="1" si="3"/>
        <v>-0.32944726436162997</v>
      </c>
    </row>
    <row r="45" spans="1:19">
      <c r="A45" s="2" t="s">
        <v>94</v>
      </c>
      <c r="B45" s="2" t="s">
        <v>14</v>
      </c>
      <c r="C45" s="25">
        <v>45718</v>
      </c>
      <c r="D45" s="2" t="s">
        <v>43</v>
      </c>
      <c r="E45" s="2">
        <v>2358</v>
      </c>
      <c r="F45" s="2">
        <v>784</v>
      </c>
      <c r="G45" s="2">
        <v>344</v>
      </c>
      <c r="H45" s="3">
        <v>35370</v>
      </c>
      <c r="I45" s="2">
        <v>34475</v>
      </c>
      <c r="J45" s="3">
        <v>216</v>
      </c>
      <c r="K45" s="2" t="s">
        <v>25</v>
      </c>
      <c r="L45" s="2" t="s">
        <v>416</v>
      </c>
      <c r="M45" s="32" t="s">
        <v>416</v>
      </c>
      <c r="O45" s="12">
        <f t="shared" si="0"/>
        <v>9.8558100084817646</v>
      </c>
      <c r="P45" t="str">
        <f t="shared" si="4"/>
        <v>Before</v>
      </c>
      <c r="Q45" s="11">
        <f t="shared" ca="1" si="1"/>
        <v>15.874859676308665</v>
      </c>
      <c r="R45" s="11">
        <f t="shared" ca="1" si="2"/>
        <v>10.661912024480149</v>
      </c>
      <c r="S45" s="35">
        <f t="shared" ca="1" si="3"/>
        <v>-0.32837755785698181</v>
      </c>
    </row>
    <row r="46" spans="1:19">
      <c r="A46" s="2" t="s">
        <v>95</v>
      </c>
      <c r="B46" s="2" t="s">
        <v>36</v>
      </c>
      <c r="C46" s="25">
        <v>45597</v>
      </c>
      <c r="D46" s="2" t="s">
        <v>58</v>
      </c>
      <c r="E46" s="2">
        <v>3371</v>
      </c>
      <c r="F46" s="2">
        <v>106</v>
      </c>
      <c r="G46" s="2">
        <v>327</v>
      </c>
      <c r="H46" s="3">
        <v>50565</v>
      </c>
      <c r="I46" s="2">
        <v>49816</v>
      </c>
      <c r="J46" s="3">
        <v>176</v>
      </c>
      <c r="K46" s="2" t="s">
        <v>50</v>
      </c>
      <c r="L46" s="2" t="s">
        <v>416</v>
      </c>
      <c r="M46" s="32" t="s">
        <v>416</v>
      </c>
      <c r="N46" s="2" t="s">
        <v>17</v>
      </c>
      <c r="O46" s="12">
        <f t="shared" si="0"/>
        <v>7.5229902106199935</v>
      </c>
      <c r="P46" t="str">
        <f t="shared" si="4"/>
        <v>Before</v>
      </c>
      <c r="Q46" s="11">
        <f t="shared" ca="1" si="1"/>
        <v>15.900692507501054</v>
      </c>
      <c r="R46" s="11">
        <f t="shared" ca="1" si="2"/>
        <v>10.661912024480149</v>
      </c>
      <c r="S46" s="35">
        <f t="shared" ca="1" si="3"/>
        <v>-0.32946869958962749</v>
      </c>
    </row>
    <row r="47" spans="1:19">
      <c r="A47" s="2" t="s">
        <v>96</v>
      </c>
      <c r="B47" s="2" t="s">
        <v>14</v>
      </c>
      <c r="C47" s="25">
        <v>45779</v>
      </c>
      <c r="D47" s="2" t="s">
        <v>58</v>
      </c>
      <c r="E47" s="2">
        <v>1108</v>
      </c>
      <c r="F47" s="2">
        <v>177</v>
      </c>
      <c r="G47" s="2">
        <v>212</v>
      </c>
      <c r="H47" s="3">
        <v>8864</v>
      </c>
      <c r="I47" s="2">
        <v>8710</v>
      </c>
      <c r="J47" s="3">
        <v>97</v>
      </c>
      <c r="K47" s="2" t="s">
        <v>25</v>
      </c>
      <c r="L47" s="2" t="s">
        <v>416</v>
      </c>
      <c r="M47" s="32" t="s">
        <v>416</v>
      </c>
      <c r="N47" s="2" t="s">
        <v>32</v>
      </c>
      <c r="O47" s="12">
        <f t="shared" si="0"/>
        <v>16.888537906137184</v>
      </c>
      <c r="P47" t="str">
        <f t="shared" si="4"/>
        <v>Before</v>
      </c>
      <c r="Q47" s="11">
        <f t="shared" ca="1" si="1"/>
        <v>15.936803293263472</v>
      </c>
      <c r="R47" s="11">
        <f t="shared" ca="1" si="2"/>
        <v>10.661912024480149</v>
      </c>
      <c r="S47" s="35">
        <f t="shared" ca="1" si="3"/>
        <v>-0.33098803892578843</v>
      </c>
    </row>
    <row r="48" spans="1:19">
      <c r="A48" s="2" t="s">
        <v>98</v>
      </c>
      <c r="B48" s="2" t="s">
        <v>14</v>
      </c>
      <c r="C48" s="25">
        <v>45712</v>
      </c>
      <c r="D48" s="2" t="s">
        <v>38</v>
      </c>
      <c r="E48" s="2">
        <v>2704</v>
      </c>
      <c r="F48" s="2">
        <v>752</v>
      </c>
      <c r="G48" s="2">
        <v>153</v>
      </c>
      <c r="H48" s="3">
        <v>21632</v>
      </c>
      <c r="I48" s="2">
        <v>20792</v>
      </c>
      <c r="J48" s="3">
        <v>127</v>
      </c>
      <c r="K48" s="2" t="s">
        <v>50</v>
      </c>
      <c r="L48" s="2" t="s">
        <v>416</v>
      </c>
      <c r="M48" s="32" t="s">
        <v>416</v>
      </c>
      <c r="O48" s="12">
        <f t="shared" si="0"/>
        <v>16.683616863905325</v>
      </c>
      <c r="P48" t="str">
        <f t="shared" si="4"/>
        <v>Before</v>
      </c>
      <c r="Q48" s="11">
        <f t="shared" ca="1" si="1"/>
        <v>15.93268323000428</v>
      </c>
      <c r="R48" s="11">
        <f t="shared" ca="1" si="2"/>
        <v>10.661912024480149</v>
      </c>
      <c r="S48" s="35">
        <f t="shared" ca="1" si="3"/>
        <v>-0.33081503783356869</v>
      </c>
    </row>
    <row r="49" spans="1:19">
      <c r="A49" s="2" t="s">
        <v>99</v>
      </c>
      <c r="B49" s="2" t="s">
        <v>14</v>
      </c>
      <c r="C49" s="25">
        <v>45727</v>
      </c>
      <c r="D49" s="2" t="s">
        <v>29</v>
      </c>
      <c r="E49" s="2">
        <v>1950</v>
      </c>
      <c r="F49" s="2">
        <v>295</v>
      </c>
      <c r="G49" s="2">
        <v>478</v>
      </c>
      <c r="H49" s="3">
        <v>37050</v>
      </c>
      <c r="I49" s="2">
        <v>36272</v>
      </c>
      <c r="J49" s="3">
        <v>119</v>
      </c>
      <c r="K49" s="2" t="s">
        <v>25</v>
      </c>
      <c r="L49" s="2" t="s">
        <v>416</v>
      </c>
      <c r="M49" s="32" t="s">
        <v>416</v>
      </c>
      <c r="O49" s="12">
        <f t="shared" si="0"/>
        <v>7.3495276653171393</v>
      </c>
      <c r="P49" t="str">
        <f t="shared" si="4"/>
        <v>Before</v>
      </c>
      <c r="Q49" s="11">
        <f t="shared" ca="1" si="1"/>
        <v>15.929418301161231</v>
      </c>
      <c r="R49" s="11">
        <f t="shared" ca="1" si="2"/>
        <v>10.661912024480149</v>
      </c>
      <c r="S49" s="35">
        <f t="shared" ca="1" si="3"/>
        <v>-0.33067788020213451</v>
      </c>
    </row>
    <row r="50" spans="1:19">
      <c r="A50" s="2" t="s">
        <v>101</v>
      </c>
      <c r="B50" s="2" t="s">
        <v>14</v>
      </c>
      <c r="C50" s="25">
        <v>45453</v>
      </c>
      <c r="D50" s="2" t="s">
        <v>29</v>
      </c>
      <c r="E50" s="2">
        <v>2164</v>
      </c>
      <c r="F50" s="2">
        <v>549</v>
      </c>
      <c r="G50" s="2">
        <v>274</v>
      </c>
      <c r="H50" s="3">
        <v>28132</v>
      </c>
      <c r="I50" s="2">
        <v>27361</v>
      </c>
      <c r="J50" s="3">
        <v>177</v>
      </c>
      <c r="K50" s="2" t="s">
        <v>25</v>
      </c>
      <c r="L50" s="2" t="s">
        <v>416</v>
      </c>
      <c r="M50" s="32" t="s">
        <v>416</v>
      </c>
      <c r="N50" s="2" t="s">
        <v>32</v>
      </c>
      <c r="O50" s="12">
        <f t="shared" si="0"/>
        <v>10.617801791554102</v>
      </c>
      <c r="P50" t="str">
        <f t="shared" si="4"/>
        <v>Before</v>
      </c>
      <c r="Q50" s="11">
        <f t="shared" ca="1" si="1"/>
        <v>15.966885072496792</v>
      </c>
      <c r="R50" s="11">
        <f t="shared" ca="1" si="2"/>
        <v>10.661912024480149</v>
      </c>
      <c r="S50" s="35">
        <f t="shared" ca="1" si="3"/>
        <v>-0.332248464489454</v>
      </c>
    </row>
    <row r="51" spans="1:19">
      <c r="A51" s="2" t="s">
        <v>102</v>
      </c>
      <c r="B51" s="2" t="s">
        <v>23</v>
      </c>
      <c r="C51" s="25">
        <v>45476</v>
      </c>
      <c r="D51" s="2" t="s">
        <v>29</v>
      </c>
      <c r="E51" s="2">
        <v>2754</v>
      </c>
      <c r="F51" s="2">
        <v>130</v>
      </c>
      <c r="G51" s="2">
        <v>90</v>
      </c>
      <c r="H51" s="3">
        <v>22032</v>
      </c>
      <c r="I51" s="2">
        <v>21288</v>
      </c>
      <c r="J51" s="3">
        <v>112</v>
      </c>
      <c r="K51" s="2" t="s">
        <v>25</v>
      </c>
      <c r="L51" s="2" t="s">
        <v>416</v>
      </c>
      <c r="M51" s="32" t="s">
        <v>416</v>
      </c>
      <c r="N51" s="2" t="s">
        <v>26</v>
      </c>
      <c r="O51" s="12">
        <f t="shared" si="0"/>
        <v>13.498547567175018</v>
      </c>
      <c r="P51" t="str">
        <f t="shared" si="4"/>
        <v>During</v>
      </c>
      <c r="Q51" s="11">
        <f t="shared" ca="1" si="1"/>
        <v>15.990345964079877</v>
      </c>
      <c r="R51" s="11">
        <f t="shared" ca="1" si="2"/>
        <v>10.661912024480149</v>
      </c>
      <c r="S51" s="35">
        <f t="shared" ca="1" si="3"/>
        <v>-0.33322818352831923</v>
      </c>
    </row>
    <row r="52" spans="1:19">
      <c r="A52" s="2" t="s">
        <v>104</v>
      </c>
      <c r="B52" s="2" t="s">
        <v>36</v>
      </c>
      <c r="C52" s="25">
        <v>45456</v>
      </c>
      <c r="D52" s="2" t="s">
        <v>38</v>
      </c>
      <c r="E52" s="2">
        <v>2200</v>
      </c>
      <c r="F52" s="2">
        <v>504</v>
      </c>
      <c r="G52" s="2">
        <v>239</v>
      </c>
      <c r="H52" s="3">
        <v>37400</v>
      </c>
      <c r="I52" s="2">
        <v>36938</v>
      </c>
      <c r="J52" s="3">
        <v>225</v>
      </c>
      <c r="K52" s="2" t="s">
        <v>50</v>
      </c>
      <c r="L52" s="2" t="s">
        <v>416</v>
      </c>
      <c r="M52" s="32" t="s">
        <v>416</v>
      </c>
      <c r="N52" s="2" t="s">
        <v>21</v>
      </c>
      <c r="O52" s="12">
        <f t="shared" si="0"/>
        <v>7.8689839572192515</v>
      </c>
      <c r="P52" t="str">
        <f t="shared" si="4"/>
        <v>Before</v>
      </c>
      <c r="Q52" s="11">
        <f t="shared" ca="1" si="1"/>
        <v>15.990345964079877</v>
      </c>
      <c r="R52" s="11">
        <f t="shared" ca="1" si="2"/>
        <v>10.532974045266744</v>
      </c>
      <c r="S52" s="35">
        <f t="shared" ca="1" si="3"/>
        <v>-0.34129167255495108</v>
      </c>
    </row>
    <row r="53" spans="1:19">
      <c r="A53" s="2" t="s">
        <v>105</v>
      </c>
      <c r="B53" s="2" t="s">
        <v>36</v>
      </c>
      <c r="C53" s="25">
        <v>45660</v>
      </c>
      <c r="D53" s="2" t="s">
        <v>43</v>
      </c>
      <c r="E53" s="2">
        <v>947</v>
      </c>
      <c r="F53" s="2">
        <v>338</v>
      </c>
      <c r="G53" s="2">
        <v>350</v>
      </c>
      <c r="H53" s="3">
        <v>10417</v>
      </c>
      <c r="I53" s="2">
        <v>9730</v>
      </c>
      <c r="J53" s="3">
        <v>34</v>
      </c>
      <c r="K53" s="2" t="s">
        <v>25</v>
      </c>
      <c r="L53" s="2" t="s">
        <v>416</v>
      </c>
      <c r="M53" s="32" t="s">
        <v>416</v>
      </c>
      <c r="N53" s="2" t="s">
        <v>32</v>
      </c>
      <c r="O53" s="12">
        <f t="shared" si="0"/>
        <v>15.69549774407219</v>
      </c>
      <c r="P53" t="str">
        <f t="shared" si="4"/>
        <v>Before</v>
      </c>
      <c r="Q53" s="11">
        <f t="shared" ca="1" si="1"/>
        <v>16.026122889220229</v>
      </c>
      <c r="R53" s="11">
        <f t="shared" ca="1" si="2"/>
        <v>10.532974045266744</v>
      </c>
      <c r="S53" s="35">
        <f t="shared" ca="1" si="3"/>
        <v>-0.3427621815909313</v>
      </c>
    </row>
    <row r="54" spans="1:19">
      <c r="A54" s="2" t="s">
        <v>106</v>
      </c>
      <c r="B54" s="2" t="s">
        <v>23</v>
      </c>
      <c r="C54" s="25">
        <v>45712</v>
      </c>
      <c r="D54" s="2" t="s">
        <v>38</v>
      </c>
      <c r="E54" s="2">
        <v>804</v>
      </c>
      <c r="F54" s="2">
        <v>639</v>
      </c>
      <c r="G54" s="2">
        <v>43</v>
      </c>
      <c r="H54" s="3">
        <v>4020</v>
      </c>
      <c r="I54" s="2">
        <v>3144</v>
      </c>
      <c r="J54" s="3">
        <v>11</v>
      </c>
      <c r="K54" s="2" t="s">
        <v>31</v>
      </c>
      <c r="L54" s="2" t="s">
        <v>387</v>
      </c>
      <c r="M54" s="32" t="s">
        <v>416</v>
      </c>
      <c r="O54" s="12">
        <f t="shared" si="0"/>
        <v>36.965174129353237</v>
      </c>
      <c r="P54" t="str">
        <f t="shared" si="4"/>
        <v>Before</v>
      </c>
      <c r="Q54" s="11">
        <f t="shared" ca="1" si="1"/>
        <v>16.027585832340353</v>
      </c>
      <c r="R54" s="11">
        <f t="shared" ca="1" si="2"/>
        <v>10.532974045266744</v>
      </c>
      <c r="S54" s="35">
        <f t="shared" ca="1" si="3"/>
        <v>-0.34282217200712906</v>
      </c>
    </row>
    <row r="55" spans="1:19">
      <c r="A55" s="2" t="s">
        <v>107</v>
      </c>
      <c r="B55" s="2" t="s">
        <v>23</v>
      </c>
      <c r="C55" s="25">
        <v>45729</v>
      </c>
      <c r="D55" s="2" t="s">
        <v>38</v>
      </c>
      <c r="E55" s="2">
        <v>1686</v>
      </c>
      <c r="F55" s="2">
        <v>904</v>
      </c>
      <c r="G55" s="2">
        <v>472</v>
      </c>
      <c r="H55" s="3">
        <v>18546</v>
      </c>
      <c r="I55" s="2">
        <v>18171</v>
      </c>
      <c r="J55" s="3">
        <v>52</v>
      </c>
      <c r="K55" s="2" t="s">
        <v>50</v>
      </c>
      <c r="L55" s="2" t="s">
        <v>416</v>
      </c>
      <c r="M55" s="32" t="s">
        <v>416</v>
      </c>
      <c r="N55" s="2" t="s">
        <v>21</v>
      </c>
      <c r="O55" s="12">
        <f t="shared" si="0"/>
        <v>16.510298716704412</v>
      </c>
      <c r="P55" t="str">
        <f t="shared" si="4"/>
        <v>Before</v>
      </c>
      <c r="Q55" s="11">
        <f t="shared" ca="1" si="1"/>
        <v>15.934529884353633</v>
      </c>
      <c r="R55" s="11">
        <f t="shared" ca="1" si="2"/>
        <v>10.532974045266744</v>
      </c>
      <c r="S55" s="35">
        <f t="shared" ca="1" si="3"/>
        <v>-0.33898432387332378</v>
      </c>
    </row>
    <row r="56" spans="1:19">
      <c r="A56" s="2" t="s">
        <v>108</v>
      </c>
      <c r="B56" s="2" t="s">
        <v>36</v>
      </c>
      <c r="C56" s="25">
        <v>45460</v>
      </c>
      <c r="D56" s="2" t="s">
        <v>43</v>
      </c>
      <c r="E56" s="2">
        <v>1226</v>
      </c>
      <c r="F56" s="2">
        <v>119</v>
      </c>
      <c r="G56" s="2">
        <v>7</v>
      </c>
      <c r="H56" s="3">
        <v>14712</v>
      </c>
      <c r="I56" s="2">
        <v>14049</v>
      </c>
      <c r="J56" s="3">
        <v>123</v>
      </c>
      <c r="K56" s="2" t="s">
        <v>31</v>
      </c>
      <c r="L56" s="2" t="s">
        <v>416</v>
      </c>
      <c r="M56" s="32" t="s">
        <v>416</v>
      </c>
      <c r="N56" s="2" t="s">
        <v>32</v>
      </c>
      <c r="O56" s="12">
        <f t="shared" si="0"/>
        <v>9.1897770527460576</v>
      </c>
      <c r="P56" t="str">
        <f t="shared" si="4"/>
        <v>During</v>
      </c>
      <c r="Q56" s="11">
        <f t="shared" ca="1" si="1"/>
        <v>15.931959487780636</v>
      </c>
      <c r="R56" s="11">
        <f t="shared" ca="1" si="2"/>
        <v>10.532974045266744</v>
      </c>
      <c r="S56" s="35">
        <f t="shared" ca="1" si="3"/>
        <v>-0.33887767833296095</v>
      </c>
    </row>
    <row r="57" spans="1:19">
      <c r="A57" s="2" t="s">
        <v>109</v>
      </c>
      <c r="B57" s="2" t="s">
        <v>36</v>
      </c>
      <c r="C57" s="25">
        <v>45644</v>
      </c>
      <c r="D57" s="2" t="s">
        <v>38</v>
      </c>
      <c r="E57" s="2">
        <v>2946</v>
      </c>
      <c r="F57" s="2">
        <v>498</v>
      </c>
      <c r="G57" s="2">
        <v>367</v>
      </c>
      <c r="H57" s="3">
        <v>29460</v>
      </c>
      <c r="I57" s="2">
        <v>28527</v>
      </c>
      <c r="J57" s="3">
        <v>60</v>
      </c>
      <c r="K57" s="2" t="s">
        <v>50</v>
      </c>
      <c r="L57" s="2" t="s">
        <v>416</v>
      </c>
      <c r="M57" s="32" t="s">
        <v>416</v>
      </c>
      <c r="N57" s="2" t="s">
        <v>26</v>
      </c>
      <c r="O57" s="12">
        <f t="shared" si="0"/>
        <v>12.936184657162253</v>
      </c>
      <c r="P57" t="str">
        <f t="shared" si="4"/>
        <v>Before</v>
      </c>
      <c r="Q57" s="11">
        <f t="shared" ca="1" si="1"/>
        <v>15.931959487780636</v>
      </c>
      <c r="R57" s="11">
        <f t="shared" ca="1" si="2"/>
        <v>10.596935806815349</v>
      </c>
      <c r="S57" s="35">
        <f t="shared" ca="1" si="3"/>
        <v>-0.33486299566962247</v>
      </c>
    </row>
    <row r="58" spans="1:19">
      <c r="A58" s="2" t="s">
        <v>110</v>
      </c>
      <c r="B58" s="2" t="s">
        <v>14</v>
      </c>
      <c r="C58" s="25">
        <v>45586</v>
      </c>
      <c r="D58" s="2" t="s">
        <v>58</v>
      </c>
      <c r="E58" s="2">
        <v>2825</v>
      </c>
      <c r="F58" s="2">
        <v>535</v>
      </c>
      <c r="G58" s="2">
        <v>295</v>
      </c>
      <c r="H58" s="3">
        <v>45200</v>
      </c>
      <c r="I58" s="2">
        <v>44739</v>
      </c>
      <c r="J58" s="3">
        <v>169</v>
      </c>
      <c r="K58" s="2" t="s">
        <v>25</v>
      </c>
      <c r="L58" s="2" t="s">
        <v>416</v>
      </c>
      <c r="M58" s="32" t="s">
        <v>416</v>
      </c>
      <c r="N58" s="2" t="s">
        <v>17</v>
      </c>
      <c r="O58" s="12">
        <f t="shared" si="0"/>
        <v>8.086283185840708</v>
      </c>
      <c r="P58" t="str">
        <f t="shared" si="4"/>
        <v>Before</v>
      </c>
      <c r="Q58" s="11">
        <f t="shared" ca="1" si="1"/>
        <v>15.945393455630946</v>
      </c>
      <c r="R58" s="11">
        <f t="shared" ca="1" si="2"/>
        <v>10.596935806815349</v>
      </c>
      <c r="S58" s="35">
        <f t="shared" ca="1" si="3"/>
        <v>-0.33542337250554616</v>
      </c>
    </row>
    <row r="59" spans="1:19">
      <c r="A59" s="2" t="s">
        <v>111</v>
      </c>
      <c r="B59" s="2" t="s">
        <v>28</v>
      </c>
      <c r="C59" s="25">
        <v>45762</v>
      </c>
      <c r="D59" s="2" t="s">
        <v>15</v>
      </c>
      <c r="E59" s="2">
        <v>103</v>
      </c>
      <c r="F59" s="2">
        <v>770</v>
      </c>
      <c r="G59" s="2">
        <v>19</v>
      </c>
      <c r="H59" s="3">
        <v>1030</v>
      </c>
      <c r="I59" s="2">
        <v>410</v>
      </c>
      <c r="J59" s="3">
        <v>262</v>
      </c>
      <c r="K59" s="2" t="s">
        <v>25</v>
      </c>
      <c r="L59" s="2" t="s">
        <v>416</v>
      </c>
      <c r="M59" s="32" t="s">
        <v>416</v>
      </c>
      <c r="N59" s="2" t="s">
        <v>32</v>
      </c>
      <c r="O59" s="12">
        <f t="shared" si="0"/>
        <v>86.601941747572823</v>
      </c>
      <c r="P59" t="str">
        <f t="shared" si="4"/>
        <v>Before</v>
      </c>
      <c r="Q59" s="11">
        <f t="shared" ca="1" si="1"/>
        <v>15.98079485324261</v>
      </c>
      <c r="R59" s="11">
        <f t="shared" ca="1" si="2"/>
        <v>10.596935806815349</v>
      </c>
      <c r="S59" s="35">
        <f t="shared" ca="1" si="3"/>
        <v>-0.33689557345984206</v>
      </c>
    </row>
    <row r="60" spans="1:19">
      <c r="A60" s="2" t="s">
        <v>112</v>
      </c>
      <c r="B60" s="2" t="s">
        <v>28</v>
      </c>
      <c r="C60" s="25">
        <v>45465</v>
      </c>
      <c r="D60" s="2" t="s">
        <v>19</v>
      </c>
      <c r="E60" s="2">
        <v>2180</v>
      </c>
      <c r="F60" s="2">
        <v>263</v>
      </c>
      <c r="G60" s="2">
        <v>387</v>
      </c>
      <c r="H60" s="3">
        <v>30520</v>
      </c>
      <c r="I60" s="2">
        <v>30059</v>
      </c>
      <c r="J60" s="3">
        <v>174</v>
      </c>
      <c r="K60" s="2" t="s">
        <v>31</v>
      </c>
      <c r="L60" s="2" t="s">
        <v>416</v>
      </c>
      <c r="M60" s="32" t="s">
        <v>416</v>
      </c>
      <c r="O60" s="12">
        <f t="shared" si="0"/>
        <v>9.2726081258191346</v>
      </c>
      <c r="P60" t="str">
        <f t="shared" si="4"/>
        <v>During</v>
      </c>
      <c r="Q60" s="11">
        <f t="shared" ca="1" si="1"/>
        <v>15.661242152363293</v>
      </c>
      <c r="R60" s="11">
        <f t="shared" ca="1" si="2"/>
        <v>10.596935806815349</v>
      </c>
      <c r="S60" s="35">
        <f t="shared" ca="1" si="3"/>
        <v>-0.32336556042483111</v>
      </c>
    </row>
    <row r="61" spans="1:19">
      <c r="A61" s="2" t="s">
        <v>113</v>
      </c>
      <c r="B61" s="2" t="s">
        <v>28</v>
      </c>
      <c r="C61" s="25">
        <v>45685</v>
      </c>
      <c r="D61" s="2" t="s">
        <v>58</v>
      </c>
      <c r="E61" s="2">
        <v>904</v>
      </c>
      <c r="F61" s="2">
        <v>973</v>
      </c>
      <c r="G61" s="2">
        <v>63</v>
      </c>
      <c r="H61" s="3">
        <v>11752</v>
      </c>
      <c r="I61" s="2">
        <v>11580</v>
      </c>
      <c r="J61" s="3">
        <v>84</v>
      </c>
      <c r="K61" s="2" t="s">
        <v>31</v>
      </c>
      <c r="L61" s="2" t="s">
        <v>25</v>
      </c>
      <c r="M61" s="2" t="s">
        <v>386</v>
      </c>
      <c r="N61" s="2" t="s">
        <v>26</v>
      </c>
      <c r="O61" s="12">
        <f t="shared" si="0"/>
        <v>16.507828454731111</v>
      </c>
      <c r="P61" t="str">
        <f t="shared" si="4"/>
        <v>Before</v>
      </c>
      <c r="Q61" s="11">
        <f t="shared" ca="1" si="1"/>
        <v>15.661242152363293</v>
      </c>
      <c r="R61" s="11">
        <f t="shared" ca="1" si="2"/>
        <v>10.663152190865159</v>
      </c>
      <c r="S61" s="35">
        <f t="shared" ca="1" si="3"/>
        <v>-0.31913751877873359</v>
      </c>
    </row>
    <row r="62" spans="1:19">
      <c r="A62" s="2" t="s">
        <v>114</v>
      </c>
      <c r="B62" s="2" t="s">
        <v>14</v>
      </c>
      <c r="C62" s="25">
        <v>45540</v>
      </c>
      <c r="D62" s="2" t="s">
        <v>58</v>
      </c>
      <c r="E62" s="2">
        <v>4886</v>
      </c>
      <c r="F62" s="2">
        <v>983</v>
      </c>
      <c r="G62" s="2">
        <v>409</v>
      </c>
      <c r="H62" s="3">
        <v>43974</v>
      </c>
      <c r="I62" s="2">
        <v>43239</v>
      </c>
      <c r="J62" s="3">
        <v>65</v>
      </c>
      <c r="K62" s="2" t="s">
        <v>25</v>
      </c>
      <c r="L62" s="2" t="s">
        <v>416</v>
      </c>
      <c r="M62" s="2" t="s">
        <v>416</v>
      </c>
      <c r="N62" s="2" t="s">
        <v>17</v>
      </c>
      <c r="O62" s="12">
        <f t="shared" si="0"/>
        <v>14.276618001546368</v>
      </c>
      <c r="P62" t="str">
        <f t="shared" si="4"/>
        <v>Before</v>
      </c>
      <c r="Q62" s="11">
        <f t="shared" ca="1" si="1"/>
        <v>15.657394032807078</v>
      </c>
      <c r="R62" s="11">
        <f t="shared" ca="1" si="2"/>
        <v>10.663152190865159</v>
      </c>
      <c r="S62" s="35">
        <f t="shared" ca="1" si="3"/>
        <v>-0.31897018312737352</v>
      </c>
    </row>
    <row r="63" spans="1:19">
      <c r="A63" s="2" t="s">
        <v>115</v>
      </c>
      <c r="B63" s="2" t="s">
        <v>14</v>
      </c>
      <c r="C63" s="25">
        <v>45618</v>
      </c>
      <c r="D63" s="2" t="s">
        <v>38</v>
      </c>
      <c r="E63" s="2">
        <v>53</v>
      </c>
      <c r="F63" s="2">
        <v>81</v>
      </c>
      <c r="G63" s="2">
        <v>379</v>
      </c>
      <c r="H63" s="3">
        <v>954</v>
      </c>
      <c r="I63" s="2">
        <v>7</v>
      </c>
      <c r="J63" s="3">
        <v>148</v>
      </c>
      <c r="K63" s="2" t="s">
        <v>25</v>
      </c>
      <c r="L63" s="2" t="s">
        <v>416</v>
      </c>
      <c r="M63" s="2" t="s">
        <v>416</v>
      </c>
      <c r="N63" s="2" t="s">
        <v>26</v>
      </c>
      <c r="O63" s="12">
        <f t="shared" si="0"/>
        <v>53.773584905660378</v>
      </c>
      <c r="P63" t="str">
        <f t="shared" si="4"/>
        <v>Before</v>
      </c>
      <c r="Q63" s="11">
        <f t="shared" ca="1" si="1"/>
        <v>15.663698946191831</v>
      </c>
      <c r="R63" s="11">
        <f t="shared" ca="1" si="2"/>
        <v>10.663152190865159</v>
      </c>
      <c r="S63" s="35">
        <f t="shared" ca="1" si="3"/>
        <v>-0.3192443095659987</v>
      </c>
    </row>
    <row r="64" spans="1:19">
      <c r="A64" s="2" t="s">
        <v>116</v>
      </c>
      <c r="B64" s="2" t="s">
        <v>14</v>
      </c>
      <c r="C64" s="25">
        <v>45504</v>
      </c>
      <c r="D64" s="2" t="s">
        <v>38</v>
      </c>
      <c r="E64" s="2">
        <v>4507</v>
      </c>
      <c r="F64" s="2">
        <v>217</v>
      </c>
      <c r="G64" s="2">
        <v>13</v>
      </c>
      <c r="H64" s="3">
        <v>90140</v>
      </c>
      <c r="I64" s="2">
        <v>89591</v>
      </c>
      <c r="J64" s="3">
        <v>125</v>
      </c>
      <c r="K64" s="2" t="s">
        <v>50</v>
      </c>
      <c r="L64" s="2" t="s">
        <v>416</v>
      </c>
      <c r="M64" s="2" t="s">
        <v>416</v>
      </c>
      <c r="N64" s="2" t="s">
        <v>26</v>
      </c>
      <c r="O64" s="12">
        <f t="shared" si="0"/>
        <v>5.2551586421122698</v>
      </c>
      <c r="P64" t="str">
        <f t="shared" si="4"/>
        <v>Before</v>
      </c>
      <c r="Q64" s="11">
        <f t="shared" ca="1" si="1"/>
        <v>15.488882955552064</v>
      </c>
      <c r="R64" s="11">
        <f t="shared" ca="1" si="2"/>
        <v>10.663152190865159</v>
      </c>
      <c r="S64" s="35">
        <f t="shared" ca="1" si="3"/>
        <v>-0.31156092912156069</v>
      </c>
    </row>
    <row r="65" spans="1:19">
      <c r="A65" s="2" t="s">
        <v>117</v>
      </c>
      <c r="B65" s="2" t="s">
        <v>36</v>
      </c>
      <c r="C65" s="25">
        <v>45521</v>
      </c>
      <c r="D65" s="2" t="s">
        <v>43</v>
      </c>
      <c r="E65" s="2">
        <v>2878</v>
      </c>
      <c r="F65" s="2">
        <v>248</v>
      </c>
      <c r="G65" s="2">
        <v>416</v>
      </c>
      <c r="H65" s="3">
        <v>43170</v>
      </c>
      <c r="I65" s="2">
        <v>42667</v>
      </c>
      <c r="J65" s="3">
        <v>75</v>
      </c>
      <c r="K65" s="2" t="s">
        <v>50</v>
      </c>
      <c r="L65" s="2" t="s">
        <v>416</v>
      </c>
      <c r="M65" s="2" t="s">
        <v>416</v>
      </c>
      <c r="N65" s="2" t="s">
        <v>26</v>
      </c>
      <c r="O65" s="12">
        <f t="shared" si="0"/>
        <v>8.2047718322909429</v>
      </c>
      <c r="P65" t="str">
        <f t="shared" si="4"/>
        <v>Before</v>
      </c>
      <c r="Q65" s="11">
        <f t="shared" ca="1" si="1"/>
        <v>15.536042975429668</v>
      </c>
      <c r="R65" s="11">
        <f t="shared" ca="1" si="2"/>
        <v>10.663152190865159</v>
      </c>
      <c r="S65" s="35">
        <f t="shared" ca="1" si="3"/>
        <v>-0.31365070193684524</v>
      </c>
    </row>
    <row r="66" spans="1:19">
      <c r="A66" s="2" t="s">
        <v>118</v>
      </c>
      <c r="B66" s="2" t="s">
        <v>28</v>
      </c>
      <c r="C66" s="25">
        <v>45744</v>
      </c>
      <c r="D66" s="2" t="s">
        <v>29</v>
      </c>
      <c r="E66" s="2">
        <v>1881</v>
      </c>
      <c r="F66" s="2">
        <v>501</v>
      </c>
      <c r="G66" s="2">
        <v>99</v>
      </c>
      <c r="H66" s="3">
        <v>20691</v>
      </c>
      <c r="I66" s="2">
        <v>19987</v>
      </c>
      <c r="J66" s="3">
        <v>289</v>
      </c>
      <c r="K66" s="2" t="s">
        <v>31</v>
      </c>
      <c r="L66" s="2" t="s">
        <v>416</v>
      </c>
      <c r="M66" s="2" t="s">
        <v>416</v>
      </c>
      <c r="O66" s="12">
        <f t="shared" si="0"/>
        <v>11.990720603160794</v>
      </c>
      <c r="P66" t="str">
        <f t="shared" si="4"/>
        <v>Before</v>
      </c>
      <c r="Q66" s="11">
        <f t="shared" ca="1" si="1"/>
        <v>15.569984045536794</v>
      </c>
      <c r="R66" s="11">
        <f t="shared" ca="1" si="2"/>
        <v>10.663152190865159</v>
      </c>
      <c r="S66" s="35">
        <f t="shared" ca="1" si="3"/>
        <v>-0.31514687749973647</v>
      </c>
    </row>
    <row r="67" spans="1:19">
      <c r="A67" s="2" t="s">
        <v>119</v>
      </c>
      <c r="B67" s="2" t="s">
        <v>14</v>
      </c>
      <c r="C67" s="25">
        <v>45499</v>
      </c>
      <c r="D67" s="2" t="s">
        <v>38</v>
      </c>
      <c r="E67" s="2">
        <v>432</v>
      </c>
      <c r="F67" s="2">
        <v>171</v>
      </c>
      <c r="G67" s="2">
        <v>280</v>
      </c>
      <c r="H67" s="3">
        <v>3024</v>
      </c>
      <c r="I67" s="2">
        <v>2285</v>
      </c>
      <c r="J67" s="3">
        <v>184</v>
      </c>
      <c r="K67" s="2" t="s">
        <v>31</v>
      </c>
      <c r="L67" s="2" t="s">
        <v>416</v>
      </c>
      <c r="M67" s="2" t="s">
        <v>416</v>
      </c>
      <c r="N67" s="2" t="s">
        <v>17</v>
      </c>
      <c r="O67" s="12">
        <f t="shared" ref="O67:O130" si="5">((E67+F67+G67)/H67)*100</f>
        <v>29.199735449735449</v>
      </c>
      <c r="P67" t="str">
        <f t="shared" ref="P67:P130" si="6">IF(AND(C67&gt;=$W$2,C67&lt;=$X$2),"During","Before")</f>
        <v>Before</v>
      </c>
      <c r="Q67" s="11">
        <f t="shared" ref="Q67:Q130" ca="1" si="7">AVERAGEIF(P67:P366,"Before",O67)</f>
        <v>15.586631782478076</v>
      </c>
      <c r="R67" s="11">
        <f t="shared" ref="R67:R130" ca="1" si="8">AVERAGEIF(P67:P366,"During",O67)</f>
        <v>10.663152190865159</v>
      </c>
      <c r="S67" s="35">
        <f t="shared" ref="S67:S130" ca="1" si="9">(R67-Q67)/Q67</f>
        <v>-0.31587835398458014</v>
      </c>
    </row>
    <row r="68" spans="1:19">
      <c r="A68" s="2" t="s">
        <v>120</v>
      </c>
      <c r="B68" s="2" t="s">
        <v>36</v>
      </c>
      <c r="C68" s="25">
        <v>45745</v>
      </c>
      <c r="D68" s="2" t="s">
        <v>38</v>
      </c>
      <c r="E68" s="2">
        <v>4712</v>
      </c>
      <c r="F68" s="2">
        <v>568</v>
      </c>
      <c r="G68" s="2">
        <v>127</v>
      </c>
      <c r="H68" s="3">
        <v>84816</v>
      </c>
      <c r="I68" s="2">
        <v>84691</v>
      </c>
      <c r="J68" s="3">
        <v>100</v>
      </c>
      <c r="K68" s="2" t="s">
        <v>31</v>
      </c>
      <c r="L68" s="2" t="s">
        <v>416</v>
      </c>
      <c r="M68" s="2" t="s">
        <v>416</v>
      </c>
      <c r="N68" s="2" t="s">
        <v>26</v>
      </c>
      <c r="O68" s="12">
        <f t="shared" si="5"/>
        <v>6.3749764195434819</v>
      </c>
      <c r="P68" t="str">
        <f t="shared" si="6"/>
        <v>Before</v>
      </c>
      <c r="Q68" s="11">
        <f t="shared" ca="1" si="7"/>
        <v>15.523019148518928</v>
      </c>
      <c r="R68" s="11">
        <f t="shared" ca="1" si="8"/>
        <v>10.663152190865159</v>
      </c>
      <c r="S68" s="35">
        <f t="shared" ca="1" si="9"/>
        <v>-0.31307485426360865</v>
      </c>
    </row>
    <row r="69" spans="1:19">
      <c r="A69" s="2" t="s">
        <v>121</v>
      </c>
      <c r="B69" s="2" t="s">
        <v>28</v>
      </c>
      <c r="C69" s="25">
        <v>45634</v>
      </c>
      <c r="D69" s="2" t="s">
        <v>29</v>
      </c>
      <c r="E69" s="2">
        <v>2610</v>
      </c>
      <c r="F69" s="2">
        <v>126</v>
      </c>
      <c r="G69" s="2">
        <v>288</v>
      </c>
      <c r="H69" s="3">
        <v>15660</v>
      </c>
      <c r="I69" s="2">
        <v>15145</v>
      </c>
      <c r="J69" s="3">
        <v>73</v>
      </c>
      <c r="K69" s="2" t="s">
        <v>31</v>
      </c>
      <c r="L69" s="2" t="s">
        <v>416</v>
      </c>
      <c r="M69" s="2" t="s">
        <v>416</v>
      </c>
      <c r="O69" s="12">
        <f t="shared" si="5"/>
        <v>19.310344827586206</v>
      </c>
      <c r="P69" t="str">
        <f t="shared" si="6"/>
        <v>Before</v>
      </c>
      <c r="Q69" s="11">
        <f t="shared" ca="1" si="7"/>
        <v>15.565967705931961</v>
      </c>
      <c r="R69" s="11">
        <f t="shared" ca="1" si="8"/>
        <v>10.663152190865159</v>
      </c>
      <c r="S69" s="35">
        <f t="shared" ca="1" si="9"/>
        <v>-0.31497017131793298</v>
      </c>
    </row>
    <row r="70" spans="1:19">
      <c r="A70" s="2" t="s">
        <v>122</v>
      </c>
      <c r="B70" s="2" t="s">
        <v>14</v>
      </c>
      <c r="C70" s="25">
        <v>45724</v>
      </c>
      <c r="D70" s="2" t="s">
        <v>19</v>
      </c>
      <c r="E70" s="2">
        <v>1292</v>
      </c>
      <c r="F70" s="2">
        <v>626</v>
      </c>
      <c r="G70" s="2">
        <v>496</v>
      </c>
      <c r="H70" s="3">
        <v>25840</v>
      </c>
      <c r="I70" s="2">
        <v>24916</v>
      </c>
      <c r="J70" s="3">
        <v>149</v>
      </c>
      <c r="K70" s="2" t="s">
        <v>50</v>
      </c>
      <c r="L70" s="2" t="s">
        <v>416</v>
      </c>
      <c r="M70" s="2" t="s">
        <v>416</v>
      </c>
      <c r="N70" s="2" t="s">
        <v>26</v>
      </c>
      <c r="O70" s="12">
        <f t="shared" si="5"/>
        <v>9.3421052631578938</v>
      </c>
      <c r="P70" t="str">
        <f t="shared" si="6"/>
        <v>Before</v>
      </c>
      <c r="Q70" s="11">
        <f t="shared" ca="1" si="7"/>
        <v>15.548305549697741</v>
      </c>
      <c r="R70" s="11">
        <f t="shared" ca="1" si="8"/>
        <v>10.663152190865159</v>
      </c>
      <c r="S70" s="35">
        <f t="shared" ca="1" si="9"/>
        <v>-0.31419200910465445</v>
      </c>
    </row>
    <row r="71" spans="1:19">
      <c r="A71" s="2" t="s">
        <v>123</v>
      </c>
      <c r="B71" s="2" t="s">
        <v>36</v>
      </c>
      <c r="C71" s="25">
        <v>45749</v>
      </c>
      <c r="D71" s="2" t="s">
        <v>58</v>
      </c>
      <c r="E71" s="2">
        <v>199</v>
      </c>
      <c r="F71" s="2">
        <v>772</v>
      </c>
      <c r="G71" s="2">
        <v>400</v>
      </c>
      <c r="H71" s="3">
        <v>3582</v>
      </c>
      <c r="I71" s="2">
        <v>2988</v>
      </c>
      <c r="J71" s="3">
        <v>43</v>
      </c>
      <c r="K71" s="2" t="s">
        <v>25</v>
      </c>
      <c r="L71" s="2" t="s">
        <v>416</v>
      </c>
      <c r="M71" s="2" t="s">
        <v>416</v>
      </c>
      <c r="O71" s="12">
        <f t="shared" si="5"/>
        <v>38.274706867671696</v>
      </c>
      <c r="P71" t="str">
        <f t="shared" si="6"/>
        <v>Before</v>
      </c>
      <c r="Q71" s="11">
        <f t="shared" ca="1" si="7"/>
        <v>15.57771882119793</v>
      </c>
      <c r="R71" s="11">
        <f t="shared" ca="1" si="8"/>
        <v>10.663152190865159</v>
      </c>
      <c r="S71" s="35">
        <f t="shared" ca="1" si="9"/>
        <v>-0.31548692634284181</v>
      </c>
    </row>
    <row r="72" spans="1:19">
      <c r="A72" s="2" t="s">
        <v>124</v>
      </c>
      <c r="B72" s="2" t="s">
        <v>23</v>
      </c>
      <c r="C72" s="25">
        <v>45537</v>
      </c>
      <c r="D72" s="2" t="s">
        <v>38</v>
      </c>
      <c r="E72" s="2">
        <v>2551</v>
      </c>
      <c r="F72" s="2">
        <v>915</v>
      </c>
      <c r="G72" s="2">
        <v>205</v>
      </c>
      <c r="H72" s="3">
        <v>30612</v>
      </c>
      <c r="I72" s="2">
        <v>30360</v>
      </c>
      <c r="J72" s="3">
        <v>227</v>
      </c>
      <c r="K72" s="2" t="s">
        <v>25</v>
      </c>
      <c r="L72" s="2" t="s">
        <v>416</v>
      </c>
      <c r="M72" s="2" t="s">
        <v>416</v>
      </c>
      <c r="N72" s="2" t="s">
        <v>21</v>
      </c>
      <c r="O72" s="12">
        <f t="shared" si="5"/>
        <v>11.992029269567491</v>
      </c>
      <c r="P72" t="str">
        <f t="shared" si="6"/>
        <v>Before</v>
      </c>
      <c r="Q72" s="11">
        <f t="shared" ca="1" si="7"/>
        <v>15.469637925738533</v>
      </c>
      <c r="R72" s="11">
        <f t="shared" ca="1" si="8"/>
        <v>10.663152190865159</v>
      </c>
      <c r="S72" s="35">
        <f t="shared" ca="1" si="9"/>
        <v>-0.31070447530490014</v>
      </c>
    </row>
    <row r="73" spans="1:19">
      <c r="A73" s="2" t="s">
        <v>125</v>
      </c>
      <c r="B73" s="2" t="s">
        <v>23</v>
      </c>
      <c r="C73" s="25">
        <v>45719</v>
      </c>
      <c r="D73" s="2" t="s">
        <v>15</v>
      </c>
      <c r="E73" s="2">
        <v>296</v>
      </c>
      <c r="F73" s="2">
        <v>60</v>
      </c>
      <c r="G73" s="2">
        <v>141</v>
      </c>
      <c r="H73" s="3">
        <v>5624</v>
      </c>
      <c r="I73" s="2">
        <v>5239</v>
      </c>
      <c r="J73" s="3">
        <v>88</v>
      </c>
      <c r="K73" s="2" t="s">
        <v>31</v>
      </c>
      <c r="L73" s="2" t="s">
        <v>416</v>
      </c>
      <c r="M73" s="2" t="s">
        <v>416</v>
      </c>
      <c r="N73" s="2" t="s">
        <v>21</v>
      </c>
      <c r="O73" s="12">
        <f t="shared" si="5"/>
        <v>8.8371266002844955</v>
      </c>
      <c r="P73" t="str">
        <f t="shared" si="6"/>
        <v>Before</v>
      </c>
      <c r="Q73" s="11">
        <f t="shared" ca="1" si="7"/>
        <v>15.486277201605381</v>
      </c>
      <c r="R73" s="11">
        <f t="shared" ca="1" si="8"/>
        <v>10.663152190865159</v>
      </c>
      <c r="S73" s="35">
        <f t="shared" ca="1" si="9"/>
        <v>-0.31144509089894334</v>
      </c>
    </row>
    <row r="74" spans="1:19">
      <c r="A74" s="2" t="s">
        <v>126</v>
      </c>
      <c r="B74" s="2" t="s">
        <v>36</v>
      </c>
      <c r="C74" s="25">
        <v>45583</v>
      </c>
      <c r="D74" s="2" t="s">
        <v>29</v>
      </c>
      <c r="E74" s="2">
        <v>4126</v>
      </c>
      <c r="F74" s="2">
        <v>426</v>
      </c>
      <c r="G74" s="2">
        <v>486</v>
      </c>
      <c r="H74" s="3">
        <v>78394</v>
      </c>
      <c r="I74" s="2">
        <v>77798</v>
      </c>
      <c r="J74" s="3">
        <v>88</v>
      </c>
      <c r="K74" s="2" t="s">
        <v>50</v>
      </c>
      <c r="L74" s="2" t="s">
        <v>416</v>
      </c>
      <c r="M74" s="2" t="s">
        <v>416</v>
      </c>
      <c r="N74" s="2" t="s">
        <v>32</v>
      </c>
      <c r="O74" s="12">
        <f t="shared" si="5"/>
        <v>6.4265122330790625</v>
      </c>
      <c r="P74" t="str">
        <f t="shared" si="6"/>
        <v>Before</v>
      </c>
      <c r="Q74" s="11">
        <f t="shared" ca="1" si="7"/>
        <v>15.518244271804038</v>
      </c>
      <c r="R74" s="11">
        <f t="shared" ca="1" si="8"/>
        <v>10.663152190865159</v>
      </c>
      <c r="S74" s="35">
        <f t="shared" ca="1" si="9"/>
        <v>-0.31286349124948154</v>
      </c>
    </row>
    <row r="75" spans="1:19">
      <c r="A75" s="2" t="s">
        <v>127</v>
      </c>
      <c r="B75" s="2" t="s">
        <v>23</v>
      </c>
      <c r="C75" s="25">
        <v>45593</v>
      </c>
      <c r="D75" s="2" t="s">
        <v>15</v>
      </c>
      <c r="E75" s="2">
        <v>1855</v>
      </c>
      <c r="F75" s="2">
        <v>200</v>
      </c>
      <c r="G75" s="2">
        <v>174</v>
      </c>
      <c r="H75" s="3">
        <v>16695</v>
      </c>
      <c r="I75" s="2">
        <v>16330</v>
      </c>
      <c r="J75" s="3">
        <v>123</v>
      </c>
      <c r="K75" s="2" t="s">
        <v>25</v>
      </c>
      <c r="L75" s="2" t="s">
        <v>416</v>
      </c>
      <c r="M75" s="2" t="s">
        <v>416</v>
      </c>
      <c r="N75" s="2" t="s">
        <v>26</v>
      </c>
      <c r="O75" s="12">
        <f t="shared" si="5"/>
        <v>13.351302785265048</v>
      </c>
      <c r="P75" t="str">
        <f t="shared" si="6"/>
        <v>Before</v>
      </c>
      <c r="Q75" s="11">
        <f t="shared" ca="1" si="7"/>
        <v>15.562165682619135</v>
      </c>
      <c r="R75" s="11">
        <f t="shared" ca="1" si="8"/>
        <v>10.663152190865159</v>
      </c>
      <c r="S75" s="35">
        <f t="shared" ca="1" si="9"/>
        <v>-0.3148028103328524</v>
      </c>
    </row>
    <row r="76" spans="1:19">
      <c r="A76" s="2" t="s">
        <v>128</v>
      </c>
      <c r="B76" s="2" t="s">
        <v>28</v>
      </c>
      <c r="C76" s="25">
        <v>45505</v>
      </c>
      <c r="D76" s="2" t="s">
        <v>15</v>
      </c>
      <c r="E76" s="2">
        <v>1674</v>
      </c>
      <c r="F76" s="2">
        <v>929</v>
      </c>
      <c r="G76" s="2">
        <v>37</v>
      </c>
      <c r="H76" s="3">
        <v>21762</v>
      </c>
      <c r="I76" s="2">
        <v>20998</v>
      </c>
      <c r="J76" s="3">
        <v>255</v>
      </c>
      <c r="K76" s="2" t="s">
        <v>25</v>
      </c>
      <c r="L76" s="2" t="s">
        <v>416</v>
      </c>
      <c r="M76" s="2" t="s">
        <v>416</v>
      </c>
      <c r="N76" s="2" t="s">
        <v>32</v>
      </c>
      <c r="O76" s="12">
        <f t="shared" si="5"/>
        <v>12.131237937689551</v>
      </c>
      <c r="P76" t="str">
        <f t="shared" si="6"/>
        <v>Before</v>
      </c>
      <c r="Q76" s="11">
        <f t="shared" ca="1" si="7"/>
        <v>15.572898026781049</v>
      </c>
      <c r="R76" s="11">
        <f t="shared" ca="1" si="8"/>
        <v>10.663152190865159</v>
      </c>
      <c r="S76" s="35">
        <f t="shared" ca="1" si="9"/>
        <v>-0.3152750263613423</v>
      </c>
    </row>
    <row r="77" spans="1:19">
      <c r="A77" s="2" t="s">
        <v>129</v>
      </c>
      <c r="B77" s="2" t="s">
        <v>14</v>
      </c>
      <c r="C77" s="25">
        <v>45603</v>
      </c>
      <c r="D77" s="2" t="s">
        <v>29</v>
      </c>
      <c r="E77" s="2">
        <v>1121</v>
      </c>
      <c r="F77" s="2">
        <v>135</v>
      </c>
      <c r="G77" s="2">
        <v>18</v>
      </c>
      <c r="H77" s="3">
        <v>15694</v>
      </c>
      <c r="I77" s="2">
        <v>14957</v>
      </c>
      <c r="J77" s="3">
        <v>99</v>
      </c>
      <c r="K77" s="2" t="s">
        <v>25</v>
      </c>
      <c r="L77" s="2" t="s">
        <v>416</v>
      </c>
      <c r="M77" s="2" t="s">
        <v>416</v>
      </c>
      <c r="N77" s="2" t="s">
        <v>32</v>
      </c>
      <c r="O77" s="12">
        <f t="shared" si="5"/>
        <v>8.1177520071364846</v>
      </c>
      <c r="P77" t="str">
        <f t="shared" si="6"/>
        <v>Before</v>
      </c>
      <c r="Q77" s="11">
        <f t="shared" ca="1" si="7"/>
        <v>15.589686612581495</v>
      </c>
      <c r="R77" s="11">
        <f t="shared" ca="1" si="8"/>
        <v>10.663152190865159</v>
      </c>
      <c r="S77" s="35">
        <f t="shared" ca="1" si="9"/>
        <v>-0.3160124089820015</v>
      </c>
    </row>
    <row r="78" spans="1:19">
      <c r="A78" s="2" t="s">
        <v>130</v>
      </c>
      <c r="B78" s="2" t="s">
        <v>36</v>
      </c>
      <c r="C78" s="25">
        <v>45720</v>
      </c>
      <c r="D78" s="2" t="s">
        <v>29</v>
      </c>
      <c r="E78" s="2">
        <v>1249</v>
      </c>
      <c r="F78" s="2">
        <v>116</v>
      </c>
      <c r="G78" s="2">
        <v>420</v>
      </c>
      <c r="H78" s="3">
        <v>8743</v>
      </c>
      <c r="I78" s="2">
        <v>8538</v>
      </c>
      <c r="J78" s="3">
        <v>63</v>
      </c>
      <c r="K78" s="2" t="s">
        <v>25</v>
      </c>
      <c r="L78" s="2" t="s">
        <v>416</v>
      </c>
      <c r="M78" s="2" t="s">
        <v>416</v>
      </c>
      <c r="O78" s="12">
        <f t="shared" si="5"/>
        <v>20.416333066453163</v>
      </c>
      <c r="P78" t="str">
        <f t="shared" si="6"/>
        <v>Before</v>
      </c>
      <c r="Q78" s="11">
        <f t="shared" ca="1" si="7"/>
        <v>15.626313743000344</v>
      </c>
      <c r="R78" s="11">
        <f t="shared" ca="1" si="8"/>
        <v>10.663152190865159</v>
      </c>
      <c r="S78" s="35">
        <f t="shared" ca="1" si="9"/>
        <v>-0.3176156343564</v>
      </c>
    </row>
    <row r="79" spans="1:19">
      <c r="A79" s="2" t="s">
        <v>131</v>
      </c>
      <c r="B79" s="2" t="s">
        <v>14</v>
      </c>
      <c r="C79" s="25">
        <v>45460</v>
      </c>
      <c r="D79" s="2" t="s">
        <v>43</v>
      </c>
      <c r="E79" s="2">
        <v>954</v>
      </c>
      <c r="F79" s="2">
        <v>324</v>
      </c>
      <c r="G79" s="2">
        <v>288</v>
      </c>
      <c r="H79" s="3">
        <v>19080</v>
      </c>
      <c r="I79" s="2">
        <v>18859</v>
      </c>
      <c r="J79" s="3">
        <v>21</v>
      </c>
      <c r="K79" s="2" t="s">
        <v>50</v>
      </c>
      <c r="L79" s="2" t="s">
        <v>416</v>
      </c>
      <c r="M79" s="2" t="s">
        <v>416</v>
      </c>
      <c r="N79" s="2" t="s">
        <v>32</v>
      </c>
      <c r="O79" s="12">
        <f t="shared" si="5"/>
        <v>8.2075471698113205</v>
      </c>
      <c r="P79" t="str">
        <f t="shared" si="6"/>
        <v>During</v>
      </c>
      <c r="Q79" s="11">
        <f t="shared" ca="1" si="7"/>
        <v>15.602717588697619</v>
      </c>
      <c r="R79" s="11">
        <f t="shared" ca="1" si="8"/>
        <v>10.663152190865159</v>
      </c>
      <c r="S79" s="35">
        <f t="shared" ca="1" si="9"/>
        <v>-0.3165836572861262</v>
      </c>
    </row>
    <row r="80" spans="1:19">
      <c r="A80" s="2" t="s">
        <v>132</v>
      </c>
      <c r="B80" s="2" t="s">
        <v>28</v>
      </c>
      <c r="C80" s="25">
        <v>45574</v>
      </c>
      <c r="D80" s="2" t="s">
        <v>38</v>
      </c>
      <c r="E80" s="2">
        <v>3068</v>
      </c>
      <c r="F80" s="2">
        <v>137</v>
      </c>
      <c r="G80" s="2">
        <v>329</v>
      </c>
      <c r="H80" s="3">
        <v>39884</v>
      </c>
      <c r="I80" s="2">
        <v>39404</v>
      </c>
      <c r="J80" s="3">
        <v>266</v>
      </c>
      <c r="K80" s="2" t="s">
        <v>31</v>
      </c>
      <c r="L80" s="2" t="s">
        <v>416</v>
      </c>
      <c r="M80" s="2" t="s">
        <v>416</v>
      </c>
      <c r="N80" s="2" t="s">
        <v>21</v>
      </c>
      <c r="O80" s="12">
        <f t="shared" si="5"/>
        <v>8.8606960184535151</v>
      </c>
      <c r="P80" t="str">
        <f t="shared" si="6"/>
        <v>Before</v>
      </c>
      <c r="Q80" s="11">
        <f t="shared" ca="1" si="7"/>
        <v>15.602717588697619</v>
      </c>
      <c r="R80" s="11">
        <f t="shared" ca="1" si="8"/>
        <v>10.792394560394309</v>
      </c>
      <c r="S80" s="35">
        <f t="shared" ca="1" si="9"/>
        <v>-0.30830033300018439</v>
      </c>
    </row>
    <row r="81" spans="1:19">
      <c r="A81" s="2" t="s">
        <v>133</v>
      </c>
      <c r="B81" s="2" t="s">
        <v>28</v>
      </c>
      <c r="C81" s="25">
        <v>45456</v>
      </c>
      <c r="D81" s="2" t="s">
        <v>29</v>
      </c>
      <c r="E81" s="2">
        <v>2103</v>
      </c>
      <c r="F81" s="2">
        <v>892</v>
      </c>
      <c r="G81" s="2">
        <v>103</v>
      </c>
      <c r="H81" s="3">
        <v>39957</v>
      </c>
      <c r="I81" s="2">
        <v>39466</v>
      </c>
      <c r="J81" s="3">
        <v>28</v>
      </c>
      <c r="K81" s="2" t="s">
        <v>50</v>
      </c>
      <c r="L81" s="2" t="s">
        <v>416</v>
      </c>
      <c r="M81" s="2" t="s">
        <v>416</v>
      </c>
      <c r="O81" s="12">
        <f t="shared" si="5"/>
        <v>7.7533348349475686</v>
      </c>
      <c r="P81" t="str">
        <f t="shared" si="6"/>
        <v>Before</v>
      </c>
      <c r="Q81" s="11">
        <f t="shared" ca="1" si="7"/>
        <v>15.636093933104769</v>
      </c>
      <c r="R81" s="11">
        <f t="shared" ca="1" si="8"/>
        <v>10.792394560394309</v>
      </c>
      <c r="S81" s="35">
        <f t="shared" ca="1" si="9"/>
        <v>-0.30977681468486007</v>
      </c>
    </row>
    <row r="82" spans="1:19">
      <c r="A82" s="2" t="s">
        <v>134</v>
      </c>
      <c r="B82" s="2" t="s">
        <v>28</v>
      </c>
      <c r="C82" s="25">
        <v>45584</v>
      </c>
      <c r="D82" s="2" t="s">
        <v>29</v>
      </c>
      <c r="E82" s="2">
        <v>1816</v>
      </c>
      <c r="F82" s="2">
        <v>29</v>
      </c>
      <c r="G82" s="2">
        <v>41</v>
      </c>
      <c r="H82" s="3">
        <v>19976</v>
      </c>
      <c r="I82" s="2">
        <v>19262</v>
      </c>
      <c r="J82" s="3">
        <v>283</v>
      </c>
      <c r="K82" s="2" t="s">
        <v>25</v>
      </c>
      <c r="L82" s="2" t="s">
        <v>416</v>
      </c>
      <c r="M82" s="2" t="s">
        <v>416</v>
      </c>
      <c r="N82" s="2" t="s">
        <v>26</v>
      </c>
      <c r="O82" s="12">
        <f t="shared" si="5"/>
        <v>9.4413295955146186</v>
      </c>
      <c r="P82" t="str">
        <f t="shared" si="6"/>
        <v>Before</v>
      </c>
      <c r="Q82" s="11">
        <f t="shared" ca="1" si="7"/>
        <v>15.675311640060775</v>
      </c>
      <c r="R82" s="11">
        <f t="shared" ca="1" si="8"/>
        <v>10.792394560394309</v>
      </c>
      <c r="S82" s="35">
        <f t="shared" ca="1" si="9"/>
        <v>-0.31150366843025867</v>
      </c>
    </row>
    <row r="83" spans="1:19">
      <c r="A83" s="2" t="s">
        <v>135</v>
      </c>
      <c r="B83" s="2" t="s">
        <v>28</v>
      </c>
      <c r="C83" s="25">
        <v>45497</v>
      </c>
      <c r="D83" s="2" t="s">
        <v>43</v>
      </c>
      <c r="E83" s="2">
        <v>725</v>
      </c>
      <c r="F83" s="2">
        <v>88</v>
      </c>
      <c r="G83" s="2">
        <v>428</v>
      </c>
      <c r="H83" s="3">
        <v>14500</v>
      </c>
      <c r="I83" s="2">
        <v>13637</v>
      </c>
      <c r="J83" s="3">
        <v>200</v>
      </c>
      <c r="K83" s="2" t="s">
        <v>50</v>
      </c>
      <c r="L83" s="2" t="s">
        <v>25</v>
      </c>
      <c r="M83" s="2" t="s">
        <v>386</v>
      </c>
      <c r="N83" s="2" t="s">
        <v>26</v>
      </c>
      <c r="O83" s="12">
        <f t="shared" si="5"/>
        <v>8.5586206896551715</v>
      </c>
      <c r="P83" t="str">
        <f t="shared" si="6"/>
        <v>Before</v>
      </c>
      <c r="Q83" s="11">
        <f t="shared" ca="1" si="7"/>
        <v>15.706481550283506</v>
      </c>
      <c r="R83" s="11">
        <f t="shared" ca="1" si="8"/>
        <v>10.792394560394309</v>
      </c>
      <c r="S83" s="35">
        <f t="shared" ca="1" si="9"/>
        <v>-0.31287000682851829</v>
      </c>
    </row>
    <row r="84" spans="1:19">
      <c r="A84" s="2" t="s">
        <v>137</v>
      </c>
      <c r="B84" s="2" t="s">
        <v>23</v>
      </c>
      <c r="C84" s="25">
        <v>45580</v>
      </c>
      <c r="D84" s="2" t="s">
        <v>58</v>
      </c>
      <c r="E84" s="2">
        <v>1094</v>
      </c>
      <c r="F84" s="2">
        <v>472</v>
      </c>
      <c r="G84" s="2">
        <v>21</v>
      </c>
      <c r="H84" s="3">
        <v>9846</v>
      </c>
      <c r="I84" s="2">
        <v>9609</v>
      </c>
      <c r="J84" s="3">
        <v>112</v>
      </c>
      <c r="K84" s="2" t="s">
        <v>31</v>
      </c>
      <c r="L84" s="2" t="s">
        <v>416</v>
      </c>
      <c r="M84" s="2" t="s">
        <v>416</v>
      </c>
      <c r="O84" s="12">
        <f t="shared" si="5"/>
        <v>16.118220597196832</v>
      </c>
      <c r="P84" t="str">
        <f t="shared" si="6"/>
        <v>Before</v>
      </c>
      <c r="Q84" s="11">
        <f t="shared" ca="1" si="7"/>
        <v>15.742400449080634</v>
      </c>
      <c r="R84" s="11">
        <f t="shared" ca="1" si="8"/>
        <v>10.792394560394309</v>
      </c>
      <c r="S84" s="35">
        <f t="shared" ca="1" si="9"/>
        <v>-0.3144378079249921</v>
      </c>
    </row>
    <row r="85" spans="1:19">
      <c r="A85" s="2" t="s">
        <v>139</v>
      </c>
      <c r="B85" s="2" t="s">
        <v>36</v>
      </c>
      <c r="C85" s="25">
        <v>45635</v>
      </c>
      <c r="D85" s="2" t="s">
        <v>43</v>
      </c>
      <c r="E85" s="2">
        <v>1841</v>
      </c>
      <c r="F85" s="2">
        <v>851</v>
      </c>
      <c r="G85" s="2">
        <v>342</v>
      </c>
      <c r="H85" s="3">
        <v>34979</v>
      </c>
      <c r="I85" s="2">
        <v>34154</v>
      </c>
      <c r="J85" s="3">
        <v>255</v>
      </c>
      <c r="K85" s="2" t="s">
        <v>50</v>
      </c>
      <c r="L85" s="2" t="s">
        <v>416</v>
      </c>
      <c r="M85" s="2" t="s">
        <v>416</v>
      </c>
      <c r="N85" s="2" t="s">
        <v>32</v>
      </c>
      <c r="O85" s="12">
        <f t="shared" si="5"/>
        <v>8.673775693987821</v>
      </c>
      <c r="P85" t="str">
        <f t="shared" si="6"/>
        <v>Before</v>
      </c>
      <c r="Q85" s="11">
        <f t="shared" ca="1" si="7"/>
        <v>15.74050236752449</v>
      </c>
      <c r="R85" s="11">
        <f t="shared" ca="1" si="8"/>
        <v>10.792394560394309</v>
      </c>
      <c r="S85" s="35">
        <f t="shared" ca="1" si="9"/>
        <v>-0.3143551388384544</v>
      </c>
    </row>
    <row r="86" spans="1:19">
      <c r="A86" s="2" t="s">
        <v>140</v>
      </c>
      <c r="B86" s="2" t="s">
        <v>28</v>
      </c>
      <c r="C86" s="25">
        <v>45766</v>
      </c>
      <c r="D86" s="2" t="s">
        <v>43</v>
      </c>
      <c r="E86" s="2">
        <v>4177</v>
      </c>
      <c r="F86" s="2">
        <v>569</v>
      </c>
      <c r="G86" s="2">
        <v>55</v>
      </c>
      <c r="H86" s="3">
        <v>25062</v>
      </c>
      <c r="I86" s="2">
        <v>24847</v>
      </c>
      <c r="J86" s="3">
        <v>230</v>
      </c>
      <c r="K86" s="2" t="s">
        <v>50</v>
      </c>
      <c r="L86" s="2" t="s">
        <v>416</v>
      </c>
      <c r="M86" s="2" t="s">
        <v>416</v>
      </c>
      <c r="N86" s="2" t="s">
        <v>17</v>
      </c>
      <c r="O86" s="12">
        <f t="shared" si="5"/>
        <v>19.156491900087783</v>
      </c>
      <c r="P86" t="str">
        <f t="shared" si="6"/>
        <v>Before</v>
      </c>
      <c r="Q86" s="11">
        <f t="shared" ca="1" si="7"/>
        <v>15.776374076527215</v>
      </c>
      <c r="R86" s="11">
        <f t="shared" ca="1" si="8"/>
        <v>10.792394560394309</v>
      </c>
      <c r="S86" s="35">
        <f t="shared" ca="1" si="9"/>
        <v>-0.31591413159683446</v>
      </c>
    </row>
    <row r="87" spans="1:19">
      <c r="A87" s="2" t="s">
        <v>141</v>
      </c>
      <c r="B87" s="2" t="s">
        <v>23</v>
      </c>
      <c r="C87" s="25">
        <v>45684</v>
      </c>
      <c r="D87" s="2" t="s">
        <v>19</v>
      </c>
      <c r="E87" s="2">
        <v>3428</v>
      </c>
      <c r="F87" s="2">
        <v>305</v>
      </c>
      <c r="G87" s="2">
        <v>85</v>
      </c>
      <c r="H87" s="3">
        <v>58276</v>
      </c>
      <c r="I87" s="2">
        <v>58052</v>
      </c>
      <c r="J87" s="3">
        <v>242</v>
      </c>
      <c r="K87" s="2" t="s">
        <v>31</v>
      </c>
      <c r="L87" s="2" t="s">
        <v>387</v>
      </c>
      <c r="M87" s="2" t="s">
        <v>416</v>
      </c>
      <c r="N87" s="2" t="s">
        <v>32</v>
      </c>
      <c r="O87" s="12">
        <f t="shared" si="5"/>
        <v>6.5515821264328364</v>
      </c>
      <c r="P87" t="str">
        <f t="shared" si="6"/>
        <v>Before</v>
      </c>
      <c r="Q87" s="11">
        <f t="shared" ca="1" si="7"/>
        <v>15.759128577427417</v>
      </c>
      <c r="R87" s="11">
        <f t="shared" ca="1" si="8"/>
        <v>10.792394560394309</v>
      </c>
      <c r="S87" s="35">
        <f t="shared" ca="1" si="9"/>
        <v>-0.31516552407264498</v>
      </c>
    </row>
    <row r="88" spans="1:19">
      <c r="A88" s="2" t="s">
        <v>142</v>
      </c>
      <c r="B88" s="2" t="s">
        <v>14</v>
      </c>
      <c r="C88" s="25">
        <v>45449</v>
      </c>
      <c r="D88" s="2" t="s">
        <v>58</v>
      </c>
      <c r="E88" s="2">
        <v>1436</v>
      </c>
      <c r="F88" s="2">
        <v>765</v>
      </c>
      <c r="G88" s="2">
        <v>496</v>
      </c>
      <c r="H88" s="3">
        <v>12924</v>
      </c>
      <c r="I88" s="2">
        <v>12701</v>
      </c>
      <c r="J88" s="3">
        <v>197</v>
      </c>
      <c r="K88" s="2" t="s">
        <v>50</v>
      </c>
      <c r="L88" s="2" t="s">
        <v>416</v>
      </c>
      <c r="M88" s="2" t="s">
        <v>416</v>
      </c>
      <c r="N88" s="2" t="s">
        <v>26</v>
      </c>
      <c r="O88" s="12">
        <f t="shared" si="5"/>
        <v>20.868152274837513</v>
      </c>
      <c r="P88" t="str">
        <f t="shared" si="6"/>
        <v>Before</v>
      </c>
      <c r="Q88" s="11">
        <f t="shared" ca="1" si="7"/>
        <v>15.806346764355592</v>
      </c>
      <c r="R88" s="11">
        <f t="shared" ca="1" si="8"/>
        <v>10.792394560394309</v>
      </c>
      <c r="S88" s="35">
        <f t="shared" ca="1" si="9"/>
        <v>-0.31721132521703832</v>
      </c>
    </row>
    <row r="89" spans="1:19">
      <c r="A89" s="2" t="s">
        <v>143</v>
      </c>
      <c r="B89" s="2" t="s">
        <v>36</v>
      </c>
      <c r="C89" s="25">
        <v>45480</v>
      </c>
      <c r="D89" s="2" t="s">
        <v>29</v>
      </c>
      <c r="E89" s="2">
        <v>302</v>
      </c>
      <c r="F89" s="2">
        <v>47</v>
      </c>
      <c r="G89" s="2">
        <v>430</v>
      </c>
      <c r="H89" s="3">
        <v>5738</v>
      </c>
      <c r="I89" s="2">
        <v>4890</v>
      </c>
      <c r="J89" s="3">
        <v>25</v>
      </c>
      <c r="K89" s="2" t="s">
        <v>25</v>
      </c>
      <c r="L89" s="2" t="s">
        <v>416</v>
      </c>
      <c r="M89" s="2" t="s">
        <v>416</v>
      </c>
      <c r="N89" s="2" t="s">
        <v>32</v>
      </c>
      <c r="O89" s="12">
        <f t="shared" si="5"/>
        <v>13.576158940397351</v>
      </c>
      <c r="P89" t="str">
        <f t="shared" si="6"/>
        <v>During</v>
      </c>
      <c r="Q89" s="11">
        <f t="shared" ca="1" si="7"/>
        <v>15.780254983373727</v>
      </c>
      <c r="R89" s="11">
        <f t="shared" ca="1" si="8"/>
        <v>10.792394560394309</v>
      </c>
      <c r="S89" s="35">
        <f t="shared" ca="1" si="9"/>
        <v>-0.31608237181431414</v>
      </c>
    </row>
    <row r="90" spans="1:19">
      <c r="A90" s="2" t="s">
        <v>144</v>
      </c>
      <c r="B90" s="2" t="s">
        <v>14</v>
      </c>
      <c r="C90" s="25">
        <v>45667</v>
      </c>
      <c r="D90" s="2" t="s">
        <v>43</v>
      </c>
      <c r="E90" s="2">
        <v>2214</v>
      </c>
      <c r="F90" s="2">
        <v>249</v>
      </c>
      <c r="G90" s="2">
        <v>152</v>
      </c>
      <c r="H90" s="3">
        <v>15498</v>
      </c>
      <c r="I90" s="2">
        <v>14800</v>
      </c>
      <c r="J90" s="3">
        <v>180</v>
      </c>
      <c r="K90" s="2" t="s">
        <v>31</v>
      </c>
      <c r="L90" s="2" t="s">
        <v>416</v>
      </c>
      <c r="M90" s="2" t="s">
        <v>416</v>
      </c>
      <c r="O90" s="12">
        <f t="shared" si="5"/>
        <v>16.873144921925409</v>
      </c>
      <c r="P90" t="str">
        <f t="shared" si="6"/>
        <v>Before</v>
      </c>
      <c r="Q90" s="11">
        <f t="shared" ca="1" si="7"/>
        <v>15.780254983373727</v>
      </c>
      <c r="R90" s="11">
        <f t="shared" ca="1" si="8"/>
        <v>10.637740983727474</v>
      </c>
      <c r="S90" s="35">
        <f t="shared" ca="1" si="9"/>
        <v>-0.32588282033873789</v>
      </c>
    </row>
    <row r="91" spans="1:19">
      <c r="A91" s="2" t="s">
        <v>146</v>
      </c>
      <c r="B91" s="2" t="s">
        <v>28</v>
      </c>
      <c r="C91" s="25">
        <v>45446</v>
      </c>
      <c r="D91" s="2" t="s">
        <v>43</v>
      </c>
      <c r="E91" s="2">
        <v>3861</v>
      </c>
      <c r="F91" s="2">
        <v>960</v>
      </c>
      <c r="G91" s="2">
        <v>101</v>
      </c>
      <c r="H91" s="3">
        <v>69498</v>
      </c>
      <c r="I91" s="2">
        <v>68817</v>
      </c>
      <c r="J91" s="3">
        <v>297</v>
      </c>
      <c r="K91" s="2" t="s">
        <v>25</v>
      </c>
      <c r="L91" s="2" t="s">
        <v>416</v>
      </c>
      <c r="M91" s="2" t="s">
        <v>416</v>
      </c>
      <c r="N91" s="2" t="s">
        <v>32</v>
      </c>
      <c r="O91" s="12">
        <f t="shared" si="5"/>
        <v>7.0822181933293038</v>
      </c>
      <c r="P91" t="str">
        <f t="shared" si="6"/>
        <v>Before</v>
      </c>
      <c r="Q91" s="11">
        <f t="shared" ca="1" si="7"/>
        <v>15.774592341205066</v>
      </c>
      <c r="R91" s="11">
        <f t="shared" ca="1" si="8"/>
        <v>10.637740983727474</v>
      </c>
      <c r="S91" s="35">
        <f t="shared" ca="1" si="9"/>
        <v>-0.32564083092401319</v>
      </c>
    </row>
    <row r="92" spans="1:19">
      <c r="A92" s="2" t="s">
        <v>147</v>
      </c>
      <c r="B92" s="2" t="s">
        <v>36</v>
      </c>
      <c r="C92" s="25">
        <v>45740</v>
      </c>
      <c r="D92" s="2" t="s">
        <v>43</v>
      </c>
      <c r="E92" s="2">
        <v>1263</v>
      </c>
      <c r="F92" s="2">
        <v>397</v>
      </c>
      <c r="G92" s="2">
        <v>357</v>
      </c>
      <c r="H92" s="3">
        <v>25260</v>
      </c>
      <c r="I92" s="2">
        <v>24615</v>
      </c>
      <c r="J92" s="3">
        <v>137</v>
      </c>
      <c r="K92" s="2" t="s">
        <v>31</v>
      </c>
      <c r="L92" s="2" t="s">
        <v>416</v>
      </c>
      <c r="M92" s="2" t="s">
        <v>416</v>
      </c>
      <c r="N92" s="2" t="s">
        <v>32</v>
      </c>
      <c r="O92" s="12">
        <f t="shared" si="5"/>
        <v>7.9849564528899446</v>
      </c>
      <c r="P92" t="str">
        <f t="shared" si="6"/>
        <v>Before</v>
      </c>
      <c r="Q92" s="11">
        <f t="shared" ca="1" si="7"/>
        <v>15.819865123225251</v>
      </c>
      <c r="R92" s="11">
        <f t="shared" ca="1" si="8"/>
        <v>10.637740983727474</v>
      </c>
      <c r="S92" s="35">
        <f t="shared" ca="1" si="9"/>
        <v>-0.3275706903398225</v>
      </c>
    </row>
    <row r="93" spans="1:19">
      <c r="A93" s="2" t="s">
        <v>148</v>
      </c>
      <c r="B93" s="2" t="s">
        <v>14</v>
      </c>
      <c r="C93" s="25">
        <v>45586</v>
      </c>
      <c r="D93" s="2" t="s">
        <v>29</v>
      </c>
      <c r="E93" s="2">
        <v>3801</v>
      </c>
      <c r="F93" s="2">
        <v>967</v>
      </c>
      <c r="G93" s="2">
        <v>401</v>
      </c>
      <c r="H93" s="3">
        <v>38010</v>
      </c>
      <c r="I93" s="2">
        <v>37625</v>
      </c>
      <c r="J93" s="3">
        <v>236</v>
      </c>
      <c r="K93" s="2" t="s">
        <v>50</v>
      </c>
      <c r="L93" s="2" t="s">
        <v>416</v>
      </c>
      <c r="M93" s="2" t="s">
        <v>416</v>
      </c>
      <c r="N93" s="2" t="s">
        <v>26</v>
      </c>
      <c r="O93" s="12">
        <f t="shared" si="5"/>
        <v>13.599052880820835</v>
      </c>
      <c r="P93" t="str">
        <f t="shared" si="6"/>
        <v>Before</v>
      </c>
      <c r="Q93" s="11">
        <f t="shared" ca="1" si="7"/>
        <v>15.860885587467841</v>
      </c>
      <c r="R93" s="11">
        <f t="shared" ca="1" si="8"/>
        <v>10.637740983727474</v>
      </c>
      <c r="S93" s="35">
        <f t="shared" ca="1" si="9"/>
        <v>-0.32930977119381843</v>
      </c>
    </row>
    <row r="94" spans="1:19">
      <c r="A94" s="2" t="s">
        <v>149</v>
      </c>
      <c r="B94" s="2" t="s">
        <v>28</v>
      </c>
      <c r="C94" s="25">
        <v>45637</v>
      </c>
      <c r="D94" s="2" t="s">
        <v>58</v>
      </c>
      <c r="E94" s="2">
        <v>1431</v>
      </c>
      <c r="F94" s="2">
        <v>951</v>
      </c>
      <c r="G94" s="2">
        <v>26</v>
      </c>
      <c r="H94" s="3">
        <v>8586</v>
      </c>
      <c r="I94" s="2">
        <v>8396</v>
      </c>
      <c r="J94" s="3">
        <v>150</v>
      </c>
      <c r="K94" s="2" t="s">
        <v>31</v>
      </c>
      <c r="L94" s="2" t="s">
        <v>416</v>
      </c>
      <c r="M94" s="2" t="s">
        <v>416</v>
      </c>
      <c r="N94" s="2" t="s">
        <v>26</v>
      </c>
      <c r="O94" s="12">
        <f t="shared" si="5"/>
        <v>28.045655718611695</v>
      </c>
      <c r="P94" t="str">
        <f t="shared" si="6"/>
        <v>Before</v>
      </c>
      <c r="Q94" s="11">
        <f t="shared" ca="1" si="7"/>
        <v>15.872789970134406</v>
      </c>
      <c r="R94" s="11">
        <f t="shared" ca="1" si="8"/>
        <v>10.637740983727474</v>
      </c>
      <c r="S94" s="35">
        <f t="shared" ca="1" si="9"/>
        <v>-0.32981278000004954</v>
      </c>
    </row>
    <row r="95" spans="1:19">
      <c r="A95" s="2" t="s">
        <v>150</v>
      </c>
      <c r="B95" s="2" t="s">
        <v>28</v>
      </c>
      <c r="C95" s="25">
        <v>45603</v>
      </c>
      <c r="D95" s="2" t="s">
        <v>43</v>
      </c>
      <c r="E95" s="2">
        <v>2647</v>
      </c>
      <c r="F95" s="2">
        <v>304</v>
      </c>
      <c r="G95" s="2">
        <v>170</v>
      </c>
      <c r="H95" s="3">
        <v>18529</v>
      </c>
      <c r="I95" s="2">
        <v>17841</v>
      </c>
      <c r="J95" s="3">
        <v>46</v>
      </c>
      <c r="K95" s="2" t="s">
        <v>50</v>
      </c>
      <c r="L95" s="2" t="s">
        <v>416</v>
      </c>
      <c r="M95" s="2" t="s">
        <v>416</v>
      </c>
      <c r="N95" s="2" t="s">
        <v>26</v>
      </c>
      <c r="O95" s="12">
        <f t="shared" si="5"/>
        <v>16.843866371633656</v>
      </c>
      <c r="P95" t="str">
        <f t="shared" si="6"/>
        <v>Before</v>
      </c>
      <c r="Q95" s="11">
        <f t="shared" ca="1" si="7"/>
        <v>15.808383273052517</v>
      </c>
      <c r="R95" s="11">
        <f t="shared" ca="1" si="8"/>
        <v>10.637740983727474</v>
      </c>
      <c r="S95" s="35">
        <f t="shared" ca="1" si="9"/>
        <v>-0.32708229551462659</v>
      </c>
    </row>
    <row r="96" spans="1:19">
      <c r="A96" s="2" t="s">
        <v>151</v>
      </c>
      <c r="B96" s="2" t="s">
        <v>28</v>
      </c>
      <c r="C96" s="25">
        <v>45604</v>
      </c>
      <c r="D96" s="2" t="s">
        <v>19</v>
      </c>
      <c r="E96" s="2">
        <v>3182</v>
      </c>
      <c r="F96" s="2">
        <v>559</v>
      </c>
      <c r="G96" s="2">
        <v>160</v>
      </c>
      <c r="H96" s="3">
        <v>57276</v>
      </c>
      <c r="I96" s="2">
        <v>56890</v>
      </c>
      <c r="J96" s="3">
        <v>163</v>
      </c>
      <c r="K96" s="2" t="s">
        <v>50</v>
      </c>
      <c r="L96" s="2" t="s">
        <v>416</v>
      </c>
      <c r="M96" s="2" t="s">
        <v>416</v>
      </c>
      <c r="N96" s="2" t="s">
        <v>32</v>
      </c>
      <c r="O96" s="12">
        <f t="shared" si="5"/>
        <v>6.8108806480899506</v>
      </c>
      <c r="P96" t="str">
        <f t="shared" si="6"/>
        <v>Before</v>
      </c>
      <c r="Q96" s="11">
        <f t="shared" ca="1" si="7"/>
        <v>15.802875384230278</v>
      </c>
      <c r="R96" s="11">
        <f t="shared" ca="1" si="8"/>
        <v>10.637740983727474</v>
      </c>
      <c r="S96" s="35">
        <f t="shared" ca="1" si="9"/>
        <v>-0.32684775870960187</v>
      </c>
    </row>
    <row r="97" spans="1:19">
      <c r="A97" s="2" t="s">
        <v>152</v>
      </c>
      <c r="B97" s="2" t="s">
        <v>14</v>
      </c>
      <c r="C97" s="25">
        <v>45545</v>
      </c>
      <c r="D97" s="2" t="s">
        <v>43</v>
      </c>
      <c r="E97" s="2">
        <v>1238</v>
      </c>
      <c r="F97" s="2">
        <v>366</v>
      </c>
      <c r="G97" s="2">
        <v>444</v>
      </c>
      <c r="H97" s="3">
        <v>19808</v>
      </c>
      <c r="I97" s="2">
        <v>19334</v>
      </c>
      <c r="J97" s="3">
        <v>123</v>
      </c>
      <c r="K97" s="2" t="s">
        <v>50</v>
      </c>
      <c r="L97" s="2" t="s">
        <v>416</v>
      </c>
      <c r="M97" s="2" t="s">
        <v>416</v>
      </c>
      <c r="O97" s="12">
        <f t="shared" si="5"/>
        <v>10.339256865912763</v>
      </c>
      <c r="P97" t="str">
        <f t="shared" si="6"/>
        <v>Before</v>
      </c>
      <c r="Q97" s="11">
        <f t="shared" ca="1" si="7"/>
        <v>15.850960917578622</v>
      </c>
      <c r="R97" s="11">
        <f t="shared" ca="1" si="8"/>
        <v>10.637740983727474</v>
      </c>
      <c r="S97" s="35">
        <f t="shared" ca="1" si="9"/>
        <v>-0.32888983582501413</v>
      </c>
    </row>
    <row r="98" spans="1:19">
      <c r="A98" s="2" t="s">
        <v>153</v>
      </c>
      <c r="B98" s="2" t="s">
        <v>28</v>
      </c>
      <c r="C98" s="25">
        <v>45517</v>
      </c>
      <c r="D98" s="2" t="s">
        <v>43</v>
      </c>
      <c r="E98" s="2">
        <v>4739</v>
      </c>
      <c r="F98" s="2">
        <v>527</v>
      </c>
      <c r="G98" s="2">
        <v>135</v>
      </c>
      <c r="H98" s="3">
        <v>61607</v>
      </c>
      <c r="I98" s="2">
        <v>61333</v>
      </c>
      <c r="J98" s="3">
        <v>36</v>
      </c>
      <c r="K98" s="2" t="s">
        <v>25</v>
      </c>
      <c r="L98" s="2" t="s">
        <v>386</v>
      </c>
      <c r="M98" s="2" t="s">
        <v>416</v>
      </c>
      <c r="N98" s="2" t="s">
        <v>21</v>
      </c>
      <c r="O98" s="12">
        <f t="shared" si="5"/>
        <v>8.7668609086629772</v>
      </c>
      <c r="P98" t="str">
        <f t="shared" si="6"/>
        <v>Before</v>
      </c>
      <c r="Q98" s="11">
        <f t="shared" ca="1" si="7"/>
        <v>15.880593735060696</v>
      </c>
      <c r="R98" s="11">
        <f t="shared" ca="1" si="8"/>
        <v>10.637740983727474</v>
      </c>
      <c r="S98" s="35">
        <f t="shared" ca="1" si="9"/>
        <v>-0.33014211173718339</v>
      </c>
    </row>
    <row r="99" spans="1:19">
      <c r="A99" s="2" t="s">
        <v>154</v>
      </c>
      <c r="B99" s="2" t="s">
        <v>14</v>
      </c>
      <c r="C99" s="25">
        <v>45453</v>
      </c>
      <c r="D99" s="2" t="s">
        <v>29</v>
      </c>
      <c r="E99" s="2">
        <v>1575</v>
      </c>
      <c r="F99" s="2">
        <v>771</v>
      </c>
      <c r="G99" s="2">
        <v>486</v>
      </c>
      <c r="H99" s="3">
        <v>25200</v>
      </c>
      <c r="I99" s="2">
        <v>24826</v>
      </c>
      <c r="J99" s="3">
        <v>17</v>
      </c>
      <c r="K99" s="2" t="s">
        <v>50</v>
      </c>
      <c r="L99" s="2" t="s">
        <v>416</v>
      </c>
      <c r="M99" s="2" t="s">
        <v>416</v>
      </c>
      <c r="N99" s="2" t="s">
        <v>32</v>
      </c>
      <c r="O99" s="12">
        <f t="shared" si="5"/>
        <v>11.238095238095239</v>
      </c>
      <c r="P99" t="str">
        <f t="shared" si="6"/>
        <v>Before</v>
      </c>
      <c r="Q99" s="11">
        <f t="shared" ca="1" si="7"/>
        <v>15.919046344933115</v>
      </c>
      <c r="R99" s="11">
        <f t="shared" ca="1" si="8"/>
        <v>10.637740983727474</v>
      </c>
      <c r="S99" s="35">
        <f t="shared" ca="1" si="9"/>
        <v>-0.3317601599223079</v>
      </c>
    </row>
    <row r="100" spans="1:19">
      <c r="A100" s="2" t="s">
        <v>155</v>
      </c>
      <c r="B100" s="2" t="s">
        <v>23</v>
      </c>
      <c r="C100" s="25">
        <v>45475</v>
      </c>
      <c r="D100" s="2" t="s">
        <v>38</v>
      </c>
      <c r="E100" s="2">
        <v>4171</v>
      </c>
      <c r="F100" s="2">
        <v>548</v>
      </c>
      <c r="G100" s="2">
        <v>86</v>
      </c>
      <c r="H100" s="3">
        <v>66736</v>
      </c>
      <c r="I100" s="2">
        <v>66634</v>
      </c>
      <c r="J100" s="3">
        <v>173</v>
      </c>
      <c r="K100" s="2" t="s">
        <v>50</v>
      </c>
      <c r="L100" s="2" t="s">
        <v>416</v>
      </c>
      <c r="M100" s="2" t="s">
        <v>416</v>
      </c>
      <c r="N100" s="2" t="s">
        <v>26</v>
      </c>
      <c r="O100" s="12">
        <f t="shared" si="5"/>
        <v>7.2000119875329656</v>
      </c>
      <c r="P100" t="str">
        <f t="shared" si="6"/>
        <v>During</v>
      </c>
      <c r="Q100" s="11">
        <f t="shared" ca="1" si="7"/>
        <v>15.944486296600715</v>
      </c>
      <c r="R100" s="11">
        <f t="shared" ca="1" si="8"/>
        <v>10.637740983727474</v>
      </c>
      <c r="S100" s="35">
        <f t="shared" ca="1" si="9"/>
        <v>-0.33282635853904008</v>
      </c>
    </row>
    <row r="101" spans="1:19">
      <c r="A101" s="2" t="s">
        <v>156</v>
      </c>
      <c r="B101" s="2" t="s">
        <v>23</v>
      </c>
      <c r="C101" s="25">
        <v>45698</v>
      </c>
      <c r="D101" s="2" t="s">
        <v>58</v>
      </c>
      <c r="E101" s="2">
        <v>1766</v>
      </c>
      <c r="F101" s="2">
        <v>92</v>
      </c>
      <c r="G101" s="2">
        <v>424</v>
      </c>
      <c r="H101" s="3">
        <v>24724</v>
      </c>
      <c r="I101" s="2">
        <v>24333</v>
      </c>
      <c r="J101" s="3">
        <v>52</v>
      </c>
      <c r="K101" s="2" t="s">
        <v>31</v>
      </c>
      <c r="L101" s="2" t="s">
        <v>416</v>
      </c>
      <c r="M101" s="2" t="s">
        <v>416</v>
      </c>
      <c r="O101" s="12">
        <f t="shared" si="5"/>
        <v>9.2298980747451864</v>
      </c>
      <c r="P101" t="str">
        <f t="shared" si="6"/>
        <v>Before</v>
      </c>
      <c r="Q101" s="11">
        <f t="shared" ca="1" si="7"/>
        <v>15.944486296600715</v>
      </c>
      <c r="R101" s="11">
        <f t="shared" ca="1" si="8"/>
        <v>10.839960336444797</v>
      </c>
      <c r="S101" s="35">
        <f t="shared" ca="1" si="9"/>
        <v>-0.32014364496924419</v>
      </c>
    </row>
    <row r="102" spans="1:19">
      <c r="A102" s="2" t="s">
        <v>157</v>
      </c>
      <c r="B102" s="2" t="s">
        <v>23</v>
      </c>
      <c r="C102" s="25">
        <v>45583</v>
      </c>
      <c r="D102" s="2" t="s">
        <v>58</v>
      </c>
      <c r="E102" s="2">
        <v>4450</v>
      </c>
      <c r="F102" s="2">
        <v>983</v>
      </c>
      <c r="G102" s="2">
        <v>143</v>
      </c>
      <c r="H102" s="3">
        <v>75650</v>
      </c>
      <c r="I102" s="2">
        <v>75008</v>
      </c>
      <c r="J102" s="3">
        <v>12</v>
      </c>
      <c r="K102" s="2" t="s">
        <v>50</v>
      </c>
      <c r="L102" s="2" t="s">
        <v>416</v>
      </c>
      <c r="M102" s="2" t="s">
        <v>416</v>
      </c>
      <c r="N102" s="2" t="s">
        <v>26</v>
      </c>
      <c r="O102" s="12">
        <f t="shared" si="5"/>
        <v>7.3707865168539328</v>
      </c>
      <c r="P102" t="str">
        <f t="shared" si="6"/>
        <v>Before</v>
      </c>
      <c r="Q102" s="11">
        <f t="shared" ca="1" si="7"/>
        <v>15.98117803551796</v>
      </c>
      <c r="R102" s="11">
        <f t="shared" ca="1" si="8"/>
        <v>10.839960336444797</v>
      </c>
      <c r="S102" s="35">
        <f t="shared" ca="1" si="9"/>
        <v>-0.3217045506687225</v>
      </c>
    </row>
    <row r="103" spans="1:19">
      <c r="A103" s="2" t="s">
        <v>158</v>
      </c>
      <c r="B103" s="2" t="s">
        <v>14</v>
      </c>
      <c r="C103" s="25">
        <v>45553</v>
      </c>
      <c r="D103" s="2" t="s">
        <v>15</v>
      </c>
      <c r="E103" s="2">
        <v>1000</v>
      </c>
      <c r="F103" s="2">
        <v>978</v>
      </c>
      <c r="G103" s="2">
        <v>162</v>
      </c>
      <c r="H103" s="3">
        <v>6000</v>
      </c>
      <c r="I103" s="2">
        <v>5221</v>
      </c>
      <c r="J103" s="3">
        <v>223</v>
      </c>
      <c r="K103" s="2" t="s">
        <v>31</v>
      </c>
      <c r="L103" s="2" t="s">
        <v>416</v>
      </c>
      <c r="M103" s="2" t="s">
        <v>416</v>
      </c>
      <c r="N103" s="2" t="s">
        <v>21</v>
      </c>
      <c r="O103" s="12">
        <f t="shared" si="5"/>
        <v>35.666666666666671</v>
      </c>
      <c r="P103" t="str">
        <f t="shared" si="6"/>
        <v>Before</v>
      </c>
      <c r="Q103" s="11">
        <f t="shared" ca="1" si="7"/>
        <v>16.028487879027104</v>
      </c>
      <c r="R103" s="11">
        <f t="shared" ca="1" si="8"/>
        <v>10.839960336444797</v>
      </c>
      <c r="S103" s="35">
        <f t="shared" ca="1" si="9"/>
        <v>-0.32370661423223657</v>
      </c>
    </row>
    <row r="104" spans="1:19">
      <c r="A104" s="2" t="s">
        <v>159</v>
      </c>
      <c r="B104" s="2" t="s">
        <v>36</v>
      </c>
      <c r="C104" s="25">
        <v>45454</v>
      </c>
      <c r="D104" s="2" t="s">
        <v>43</v>
      </c>
      <c r="E104" s="2">
        <v>3689</v>
      </c>
      <c r="F104" s="2">
        <v>48</v>
      </c>
      <c r="G104" s="2">
        <v>306</v>
      </c>
      <c r="H104" s="3">
        <v>40579</v>
      </c>
      <c r="I104" s="2">
        <v>39588</v>
      </c>
      <c r="J104" s="3">
        <v>212</v>
      </c>
      <c r="K104" s="2" t="s">
        <v>31</v>
      </c>
      <c r="L104" s="2" t="s">
        <v>416</v>
      </c>
      <c r="M104" s="2" t="s">
        <v>416</v>
      </c>
      <c r="N104" s="2" t="s">
        <v>21</v>
      </c>
      <c r="O104" s="12">
        <f t="shared" si="5"/>
        <v>9.963281500283399</v>
      </c>
      <c r="P104" t="str">
        <f t="shared" si="6"/>
        <v>Before</v>
      </c>
      <c r="Q104" s="11">
        <f t="shared" ca="1" si="7"/>
        <v>15.91998965368103</v>
      </c>
      <c r="R104" s="11">
        <f t="shared" ca="1" si="8"/>
        <v>10.839960336444797</v>
      </c>
      <c r="S104" s="35">
        <f t="shared" ca="1" si="9"/>
        <v>-0.31909752630157179</v>
      </c>
    </row>
    <row r="105" spans="1:19">
      <c r="A105" s="2" t="s">
        <v>160</v>
      </c>
      <c r="B105" s="2" t="s">
        <v>23</v>
      </c>
      <c r="C105" s="25">
        <v>45739</v>
      </c>
      <c r="D105" s="2" t="s">
        <v>29</v>
      </c>
      <c r="E105" s="2">
        <v>3655</v>
      </c>
      <c r="F105" s="2">
        <v>568</v>
      </c>
      <c r="G105" s="2">
        <v>286</v>
      </c>
      <c r="H105" s="3">
        <v>32895</v>
      </c>
      <c r="I105" s="2">
        <v>32015</v>
      </c>
      <c r="J105" s="3">
        <v>199</v>
      </c>
      <c r="K105" s="2" t="s">
        <v>25</v>
      </c>
      <c r="L105" s="2" t="s">
        <v>416</v>
      </c>
      <c r="M105" s="2" t="s">
        <v>416</v>
      </c>
      <c r="N105" s="2" t="s">
        <v>26</v>
      </c>
      <c r="O105" s="12">
        <f t="shared" si="5"/>
        <v>13.707250341997264</v>
      </c>
      <c r="P105" t="str">
        <f t="shared" si="6"/>
        <v>Before</v>
      </c>
      <c r="Q105" s="11">
        <f t="shared" ca="1" si="7"/>
        <v>15.953082476755462</v>
      </c>
      <c r="R105" s="11">
        <f t="shared" ca="1" si="8"/>
        <v>10.839960336444797</v>
      </c>
      <c r="S105" s="35">
        <f t="shared" ca="1" si="9"/>
        <v>-0.32050997967074835</v>
      </c>
    </row>
    <row r="106" spans="1:19">
      <c r="A106" s="2" t="s">
        <v>161</v>
      </c>
      <c r="B106" s="2" t="s">
        <v>28</v>
      </c>
      <c r="C106" s="25">
        <v>45457</v>
      </c>
      <c r="D106" s="2" t="s">
        <v>38</v>
      </c>
      <c r="E106" s="2">
        <v>498</v>
      </c>
      <c r="F106" s="2">
        <v>38</v>
      </c>
      <c r="G106" s="2">
        <v>42</v>
      </c>
      <c r="H106" s="3">
        <v>4482</v>
      </c>
      <c r="I106" s="2">
        <v>3647</v>
      </c>
      <c r="J106" s="3">
        <v>32</v>
      </c>
      <c r="K106" s="2" t="s">
        <v>50</v>
      </c>
      <c r="L106" s="2" t="s">
        <v>416</v>
      </c>
      <c r="M106" s="2" t="s">
        <v>416</v>
      </c>
      <c r="N106" s="2" t="s">
        <v>17</v>
      </c>
      <c r="O106" s="12">
        <f t="shared" si="5"/>
        <v>12.896028558679163</v>
      </c>
      <c r="P106" t="str">
        <f t="shared" si="6"/>
        <v>Before</v>
      </c>
      <c r="Q106" s="11">
        <f t="shared" ca="1" si="7"/>
        <v>15.965629024994339</v>
      </c>
      <c r="R106" s="11">
        <f t="shared" ca="1" si="8"/>
        <v>10.839960336444797</v>
      </c>
      <c r="S106" s="35">
        <f t="shared" ca="1" si="9"/>
        <v>-0.32104395514422018</v>
      </c>
    </row>
    <row r="107" spans="1:19">
      <c r="A107" s="2" t="s">
        <v>162</v>
      </c>
      <c r="B107" s="2" t="s">
        <v>28</v>
      </c>
      <c r="C107" s="25">
        <v>45692</v>
      </c>
      <c r="D107" s="2" t="s">
        <v>43</v>
      </c>
      <c r="E107" s="2">
        <v>4619</v>
      </c>
      <c r="F107" s="2">
        <v>821</v>
      </c>
      <c r="G107" s="2">
        <v>499</v>
      </c>
      <c r="H107" s="3">
        <v>69285</v>
      </c>
      <c r="I107" s="2">
        <v>69141</v>
      </c>
      <c r="J107" s="3">
        <v>298</v>
      </c>
      <c r="K107" s="2" t="s">
        <v>25</v>
      </c>
      <c r="L107" s="2" t="s">
        <v>416</v>
      </c>
      <c r="M107" s="2" t="s">
        <v>416</v>
      </c>
      <c r="N107" s="2" t="s">
        <v>32</v>
      </c>
      <c r="O107" s="12">
        <f t="shared" si="5"/>
        <v>8.5718409468138841</v>
      </c>
      <c r="P107" t="str">
        <f t="shared" si="6"/>
        <v>Before</v>
      </c>
      <c r="Q107" s="11">
        <f t="shared" ca="1" si="7"/>
        <v>15.982873971434309</v>
      </c>
      <c r="R107" s="11">
        <f t="shared" ca="1" si="8"/>
        <v>10.839960336444797</v>
      </c>
      <c r="S107" s="35">
        <f t="shared" ca="1" si="9"/>
        <v>-0.32177652430853676</v>
      </c>
    </row>
    <row r="108" spans="1:19">
      <c r="A108" s="2" t="s">
        <v>163</v>
      </c>
      <c r="B108" s="2" t="s">
        <v>23</v>
      </c>
      <c r="C108" s="25">
        <v>45464</v>
      </c>
      <c r="D108" s="2" t="s">
        <v>43</v>
      </c>
      <c r="E108" s="2">
        <v>4832</v>
      </c>
      <c r="F108" s="2">
        <v>893</v>
      </c>
      <c r="G108" s="2">
        <v>10</v>
      </c>
      <c r="H108" s="3">
        <v>91808</v>
      </c>
      <c r="I108" s="2">
        <v>91296</v>
      </c>
      <c r="J108" s="3">
        <v>182</v>
      </c>
      <c r="K108" s="2" t="s">
        <v>25</v>
      </c>
      <c r="L108" s="2" t="s">
        <v>416</v>
      </c>
      <c r="M108" s="2" t="s">
        <v>416</v>
      </c>
      <c r="O108" s="12">
        <f t="shared" si="5"/>
        <v>6.2467323109097244</v>
      </c>
      <c r="P108" t="str">
        <f t="shared" si="6"/>
        <v>During</v>
      </c>
      <c r="Q108" s="11">
        <f t="shared" ca="1" si="7"/>
        <v>16.024744214511262</v>
      </c>
      <c r="R108" s="11">
        <f t="shared" ca="1" si="8"/>
        <v>10.839960336444797</v>
      </c>
      <c r="S108" s="35">
        <f t="shared" ca="1" si="9"/>
        <v>-0.32354862010036745</v>
      </c>
    </row>
    <row r="109" spans="1:19">
      <c r="A109" s="2" t="s">
        <v>164</v>
      </c>
      <c r="B109" s="2" t="s">
        <v>14</v>
      </c>
      <c r="C109" s="25">
        <v>45741</v>
      </c>
      <c r="D109" s="2" t="s">
        <v>58</v>
      </c>
      <c r="E109" s="2">
        <v>4050</v>
      </c>
      <c r="F109" s="2">
        <v>871</v>
      </c>
      <c r="G109" s="2">
        <v>347</v>
      </c>
      <c r="H109" s="3">
        <v>52650</v>
      </c>
      <c r="I109" s="2">
        <v>51755</v>
      </c>
      <c r="J109" s="3">
        <v>209</v>
      </c>
      <c r="K109" s="2" t="s">
        <v>25</v>
      </c>
      <c r="L109" s="2" t="s">
        <v>416</v>
      </c>
      <c r="M109" s="2" t="s">
        <v>416</v>
      </c>
      <c r="N109" s="2" t="s">
        <v>21</v>
      </c>
      <c r="O109" s="12">
        <f t="shared" si="5"/>
        <v>10.005698005698006</v>
      </c>
      <c r="P109" t="str">
        <f t="shared" si="6"/>
        <v>Before</v>
      </c>
      <c r="Q109" s="11">
        <f t="shared" ca="1" si="7"/>
        <v>16.024744214511262</v>
      </c>
      <c r="R109" s="11">
        <f t="shared" ca="1" si="8"/>
        <v>11.127037088040739</v>
      </c>
      <c r="S109" s="35">
        <f t="shared" ca="1" si="9"/>
        <v>-0.30563402828204822</v>
      </c>
    </row>
    <row r="110" spans="1:19">
      <c r="A110" s="2" t="s">
        <v>165</v>
      </c>
      <c r="B110" s="2" t="s">
        <v>14</v>
      </c>
      <c r="C110" s="25">
        <v>45512</v>
      </c>
      <c r="D110" s="2" t="s">
        <v>29</v>
      </c>
      <c r="E110" s="2">
        <v>3649</v>
      </c>
      <c r="F110" s="2">
        <v>215</v>
      </c>
      <c r="G110" s="2">
        <v>413</v>
      </c>
      <c r="H110" s="3">
        <v>25543</v>
      </c>
      <c r="I110" s="2">
        <v>24963</v>
      </c>
      <c r="J110" s="3">
        <v>167</v>
      </c>
      <c r="K110" s="2" t="s">
        <v>50</v>
      </c>
      <c r="L110" s="2" t="s">
        <v>416</v>
      </c>
      <c r="M110" s="2" t="s">
        <v>416</v>
      </c>
      <c r="N110" s="2" t="s">
        <v>26</v>
      </c>
      <c r="O110" s="12">
        <f t="shared" si="5"/>
        <v>16.744313510550835</v>
      </c>
      <c r="P110" t="str">
        <f t="shared" si="6"/>
        <v>Before</v>
      </c>
      <c r="Q110" s="11">
        <f t="shared" ca="1" si="7"/>
        <v>16.058943340697706</v>
      </c>
      <c r="R110" s="11">
        <f t="shared" ca="1" si="8"/>
        <v>11.127037088040739</v>
      </c>
      <c r="S110" s="35">
        <f t="shared" ca="1" si="9"/>
        <v>-0.30711275007479372</v>
      </c>
    </row>
    <row r="111" spans="1:19">
      <c r="A111" s="2" t="s">
        <v>166</v>
      </c>
      <c r="B111" s="2" t="s">
        <v>28</v>
      </c>
      <c r="C111" s="25">
        <v>45502</v>
      </c>
      <c r="D111" s="2" t="s">
        <v>15</v>
      </c>
      <c r="E111" s="2">
        <v>3523</v>
      </c>
      <c r="F111" s="2">
        <v>753</v>
      </c>
      <c r="G111" s="2">
        <v>482</v>
      </c>
      <c r="H111" s="3">
        <v>38753</v>
      </c>
      <c r="I111" s="2">
        <v>38579</v>
      </c>
      <c r="J111" s="3">
        <v>270</v>
      </c>
      <c r="K111" s="2" t="s">
        <v>31</v>
      </c>
      <c r="L111" s="2" t="s">
        <v>416</v>
      </c>
      <c r="M111" s="2" t="s">
        <v>416</v>
      </c>
      <c r="N111" s="2" t="s">
        <v>21</v>
      </c>
      <c r="O111" s="12">
        <f t="shared" si="5"/>
        <v>12.277759141227776</v>
      </c>
      <c r="P111" t="str">
        <f t="shared" si="6"/>
        <v>Before</v>
      </c>
      <c r="Q111" s="11">
        <f t="shared" ca="1" si="7"/>
        <v>16.055026939727114</v>
      </c>
      <c r="R111" s="11">
        <f t="shared" ca="1" si="8"/>
        <v>11.127037088040739</v>
      </c>
      <c r="S111" s="35">
        <f t="shared" ca="1" si="9"/>
        <v>-0.30694372984777663</v>
      </c>
    </row>
    <row r="112" spans="1:19">
      <c r="A112" s="2" t="s">
        <v>167</v>
      </c>
      <c r="B112" s="2" t="s">
        <v>23</v>
      </c>
      <c r="C112" s="25">
        <v>45619</v>
      </c>
      <c r="D112" s="2" t="s">
        <v>43</v>
      </c>
      <c r="E112" s="2">
        <v>2719</v>
      </c>
      <c r="F112" s="2">
        <v>17</v>
      </c>
      <c r="G112" s="2">
        <v>285</v>
      </c>
      <c r="H112" s="3">
        <v>40785</v>
      </c>
      <c r="I112" s="2">
        <v>40281</v>
      </c>
      <c r="J112" s="3">
        <v>40</v>
      </c>
      <c r="K112" s="2" t="s">
        <v>25</v>
      </c>
      <c r="L112" s="2" t="s">
        <v>416</v>
      </c>
      <c r="M112" s="2" t="s">
        <v>416</v>
      </c>
      <c r="N112" s="2" t="s">
        <v>21</v>
      </c>
      <c r="O112" s="12">
        <f t="shared" si="5"/>
        <v>7.4071349760941523</v>
      </c>
      <c r="P112" t="str">
        <f t="shared" si="6"/>
        <v>Before</v>
      </c>
      <c r="Q112" s="11">
        <f t="shared" ca="1" si="7"/>
        <v>16.076735375350676</v>
      </c>
      <c r="R112" s="11">
        <f t="shared" ca="1" si="8"/>
        <v>11.127037088040739</v>
      </c>
      <c r="S112" s="35">
        <f t="shared" ca="1" si="9"/>
        <v>-0.30787956458491944</v>
      </c>
    </row>
    <row r="113" spans="1:19">
      <c r="A113" s="2" t="s">
        <v>168</v>
      </c>
      <c r="B113" s="2" t="s">
        <v>14</v>
      </c>
      <c r="C113" s="25">
        <v>45570</v>
      </c>
      <c r="D113" s="2" t="s">
        <v>29</v>
      </c>
      <c r="E113" s="2">
        <v>1957</v>
      </c>
      <c r="F113" s="2">
        <v>877</v>
      </c>
      <c r="G113" s="2">
        <v>238</v>
      </c>
      <c r="H113" s="3">
        <v>17613</v>
      </c>
      <c r="I113" s="2">
        <v>16865</v>
      </c>
      <c r="J113" s="3">
        <v>297</v>
      </c>
      <c r="K113" s="2" t="s">
        <v>50</v>
      </c>
      <c r="L113" s="2" t="s">
        <v>416</v>
      </c>
      <c r="M113" s="2" t="s">
        <v>416</v>
      </c>
      <c r="N113" s="2" t="s">
        <v>26</v>
      </c>
      <c r="O113" s="12">
        <f t="shared" si="5"/>
        <v>17.441662408448305</v>
      </c>
      <c r="P113" t="str">
        <f t="shared" si="6"/>
        <v>Before</v>
      </c>
      <c r="Q113" s="11">
        <f t="shared" ca="1" si="7"/>
        <v>16.126848672456205</v>
      </c>
      <c r="R113" s="11">
        <f t="shared" ca="1" si="8"/>
        <v>11.127037088040739</v>
      </c>
      <c r="S113" s="35">
        <f t="shared" ca="1" si="9"/>
        <v>-0.31003029084999584</v>
      </c>
    </row>
    <row r="114" spans="1:19">
      <c r="A114" s="2" t="s">
        <v>169</v>
      </c>
      <c r="B114" s="2" t="s">
        <v>14</v>
      </c>
      <c r="C114" s="25">
        <v>45567</v>
      </c>
      <c r="D114" s="2" t="s">
        <v>38</v>
      </c>
      <c r="E114" s="2">
        <v>4419</v>
      </c>
      <c r="F114" s="2">
        <v>236</v>
      </c>
      <c r="G114" s="2">
        <v>369</v>
      </c>
      <c r="H114" s="3">
        <v>44190</v>
      </c>
      <c r="I114" s="2">
        <v>43582</v>
      </c>
      <c r="J114" s="3">
        <v>10</v>
      </c>
      <c r="K114" s="2" t="s">
        <v>31</v>
      </c>
      <c r="L114" s="2" t="s">
        <v>416</v>
      </c>
      <c r="M114" s="2" t="s">
        <v>416</v>
      </c>
      <c r="N114" s="2" t="s">
        <v>17</v>
      </c>
      <c r="O114" s="12">
        <f t="shared" si="5"/>
        <v>11.369088028965828</v>
      </c>
      <c r="P114" t="str">
        <f t="shared" si="6"/>
        <v>Before</v>
      </c>
      <c r="Q114" s="11">
        <f t="shared" ca="1" si="7"/>
        <v>16.119204406549272</v>
      </c>
      <c r="R114" s="11">
        <f t="shared" ca="1" si="8"/>
        <v>11.127037088040739</v>
      </c>
      <c r="S114" s="35">
        <f t="shared" ca="1" si="9"/>
        <v>-0.30970308413485986</v>
      </c>
    </row>
    <row r="115" spans="1:19">
      <c r="A115" s="2" t="s">
        <v>170</v>
      </c>
      <c r="B115" s="2" t="s">
        <v>14</v>
      </c>
      <c r="C115" s="25">
        <v>45610</v>
      </c>
      <c r="D115" s="2" t="s">
        <v>29</v>
      </c>
      <c r="E115" s="2">
        <v>4000</v>
      </c>
      <c r="F115" s="2">
        <v>689</v>
      </c>
      <c r="G115" s="2">
        <v>488</v>
      </c>
      <c r="H115" s="3">
        <v>40000</v>
      </c>
      <c r="I115" s="2">
        <v>39569</v>
      </c>
      <c r="J115" s="3">
        <v>44</v>
      </c>
      <c r="K115" s="2" t="s">
        <v>50</v>
      </c>
      <c r="L115" s="2" t="s">
        <v>416</v>
      </c>
      <c r="M115" s="2" t="s">
        <v>416</v>
      </c>
      <c r="N115" s="2" t="s">
        <v>17</v>
      </c>
      <c r="O115" s="12">
        <f t="shared" si="5"/>
        <v>12.942500000000001</v>
      </c>
      <c r="P115" t="str">
        <f t="shared" si="6"/>
        <v>Before</v>
      </c>
      <c r="Q115" s="11">
        <f t="shared" ca="1" si="7"/>
        <v>16.146982864897712</v>
      </c>
      <c r="R115" s="11">
        <f t="shared" ca="1" si="8"/>
        <v>11.127037088040739</v>
      </c>
      <c r="S115" s="35">
        <f t="shared" ca="1" si="9"/>
        <v>-0.31089063627917424</v>
      </c>
    </row>
    <row r="116" spans="1:19">
      <c r="A116" s="2" t="s">
        <v>171</v>
      </c>
      <c r="B116" s="2" t="s">
        <v>14</v>
      </c>
      <c r="C116" s="25">
        <v>45788</v>
      </c>
      <c r="D116" s="2" t="s">
        <v>43</v>
      </c>
      <c r="E116" s="2">
        <v>2493</v>
      </c>
      <c r="F116" s="2">
        <v>97</v>
      </c>
      <c r="G116" s="2">
        <v>44</v>
      </c>
      <c r="H116" s="3">
        <v>42381</v>
      </c>
      <c r="I116" s="2">
        <v>41991</v>
      </c>
      <c r="J116" s="3">
        <v>242</v>
      </c>
      <c r="K116" s="2" t="s">
        <v>25</v>
      </c>
      <c r="L116" s="2" t="s">
        <v>386</v>
      </c>
      <c r="M116" s="2" t="s">
        <v>416</v>
      </c>
      <c r="N116" s="2" t="s">
        <v>32</v>
      </c>
      <c r="O116" s="12">
        <f t="shared" si="5"/>
        <v>6.2150491965739363</v>
      </c>
      <c r="P116" t="str">
        <f t="shared" si="6"/>
        <v>Before</v>
      </c>
      <c r="Q116" s="11">
        <f t="shared" ca="1" si="7"/>
        <v>16.165832764102994</v>
      </c>
      <c r="R116" s="11">
        <f t="shared" ca="1" si="8"/>
        <v>11.127037088040739</v>
      </c>
      <c r="S116" s="35">
        <f t="shared" ca="1" si="9"/>
        <v>-0.31169416073950379</v>
      </c>
    </row>
    <row r="117" spans="1:19">
      <c r="A117" s="2" t="s">
        <v>172</v>
      </c>
      <c r="B117" s="2" t="s">
        <v>23</v>
      </c>
      <c r="C117" s="25">
        <v>45734</v>
      </c>
      <c r="D117" s="2" t="s">
        <v>15</v>
      </c>
      <c r="E117" s="2">
        <v>3704</v>
      </c>
      <c r="F117" s="2">
        <v>186</v>
      </c>
      <c r="G117" s="2">
        <v>458</v>
      </c>
      <c r="H117" s="3">
        <v>25928</v>
      </c>
      <c r="I117" s="2">
        <v>25081</v>
      </c>
      <c r="J117" s="3">
        <v>131</v>
      </c>
      <c r="K117" s="2" t="s">
        <v>25</v>
      </c>
      <c r="L117" s="2" t="s">
        <v>416</v>
      </c>
      <c r="M117" s="2" t="s">
        <v>416</v>
      </c>
      <c r="O117" s="12">
        <f t="shared" si="5"/>
        <v>16.769515581610612</v>
      </c>
      <c r="P117" t="str">
        <f t="shared" si="6"/>
        <v>Before</v>
      </c>
      <c r="Q117" s="11">
        <f t="shared" ca="1" si="7"/>
        <v>16.224713140242219</v>
      </c>
      <c r="R117" s="11">
        <f t="shared" ca="1" si="8"/>
        <v>11.127037088040739</v>
      </c>
      <c r="S117" s="35">
        <f t="shared" ca="1" si="9"/>
        <v>-0.31419206047826476</v>
      </c>
    </row>
    <row r="118" spans="1:19">
      <c r="A118" s="2" t="s">
        <v>173</v>
      </c>
      <c r="B118" s="2" t="s">
        <v>14</v>
      </c>
      <c r="C118" s="25">
        <v>45600</v>
      </c>
      <c r="D118" s="2" t="s">
        <v>43</v>
      </c>
      <c r="E118" s="2">
        <v>1606</v>
      </c>
      <c r="F118" s="2">
        <v>451</v>
      </c>
      <c r="G118" s="2">
        <v>405</v>
      </c>
      <c r="H118" s="3">
        <v>20878</v>
      </c>
      <c r="I118" s="2">
        <v>20190</v>
      </c>
      <c r="J118" s="3">
        <v>219</v>
      </c>
      <c r="K118" s="2" t="s">
        <v>31</v>
      </c>
      <c r="L118" s="2" t="s">
        <v>416</v>
      </c>
      <c r="M118" s="2" t="s">
        <v>416</v>
      </c>
      <c r="N118" s="2" t="s">
        <v>32</v>
      </c>
      <c r="O118" s="12">
        <f t="shared" si="5"/>
        <v>11.792317271769326</v>
      </c>
      <c r="P118" t="str">
        <f t="shared" si="6"/>
        <v>Before</v>
      </c>
      <c r="Q118" s="11">
        <f t="shared" ca="1" si="7"/>
        <v>16.221470268567408</v>
      </c>
      <c r="R118" s="11">
        <f t="shared" ca="1" si="8"/>
        <v>11.127037088040739</v>
      </c>
      <c r="S118" s="35">
        <f t="shared" ca="1" si="9"/>
        <v>-0.31405495902539926</v>
      </c>
    </row>
    <row r="119" spans="1:19">
      <c r="A119" s="2" t="s">
        <v>174</v>
      </c>
      <c r="B119" s="2" t="s">
        <v>36</v>
      </c>
      <c r="C119" s="25">
        <v>45600</v>
      </c>
      <c r="D119" s="2" t="s">
        <v>43</v>
      </c>
      <c r="E119" s="2">
        <v>4551</v>
      </c>
      <c r="F119" s="2">
        <v>714</v>
      </c>
      <c r="G119" s="2">
        <v>207</v>
      </c>
      <c r="H119" s="3">
        <v>68265</v>
      </c>
      <c r="I119" s="2">
        <v>67754</v>
      </c>
      <c r="J119" s="3">
        <v>57</v>
      </c>
      <c r="K119" s="2" t="s">
        <v>50</v>
      </c>
      <c r="L119" s="2" t="s">
        <v>416</v>
      </c>
      <c r="M119" s="2" t="s">
        <v>416</v>
      </c>
      <c r="N119" s="2" t="s">
        <v>26</v>
      </c>
      <c r="O119" s="12">
        <f t="shared" si="5"/>
        <v>8.0158206987475271</v>
      </c>
      <c r="P119" t="str">
        <f t="shared" si="6"/>
        <v>Before</v>
      </c>
      <c r="Q119" s="11">
        <f t="shared" ca="1" si="7"/>
        <v>16.247992142799731</v>
      </c>
      <c r="R119" s="11">
        <f t="shared" ca="1" si="8"/>
        <v>11.127037088040739</v>
      </c>
      <c r="S119" s="35">
        <f t="shared" ca="1" si="9"/>
        <v>-0.31517463879549784</v>
      </c>
    </row>
    <row r="120" spans="1:19">
      <c r="A120" s="2" t="s">
        <v>175</v>
      </c>
      <c r="B120" s="2" t="s">
        <v>28</v>
      </c>
      <c r="C120" s="25">
        <v>45695</v>
      </c>
      <c r="D120" s="2" t="s">
        <v>15</v>
      </c>
      <c r="E120" s="2">
        <v>1970</v>
      </c>
      <c r="F120" s="2">
        <v>675</v>
      </c>
      <c r="G120" s="2">
        <v>478</v>
      </c>
      <c r="H120" s="3">
        <v>9850</v>
      </c>
      <c r="I120" s="2">
        <v>8924</v>
      </c>
      <c r="J120" s="3">
        <v>117</v>
      </c>
      <c r="K120" s="2" t="s">
        <v>50</v>
      </c>
      <c r="L120" s="2" t="s">
        <v>416</v>
      </c>
      <c r="M120" s="2" t="s">
        <v>416</v>
      </c>
      <c r="O120" s="12">
        <f t="shared" si="5"/>
        <v>31.705583756345177</v>
      </c>
      <c r="P120" t="str">
        <f t="shared" si="6"/>
        <v>Before</v>
      </c>
      <c r="Q120" s="11">
        <f t="shared" ca="1" si="7"/>
        <v>16.29758353704101</v>
      </c>
      <c r="R120" s="11">
        <f t="shared" ca="1" si="8"/>
        <v>11.127037088040739</v>
      </c>
      <c r="S120" s="35">
        <f t="shared" ca="1" si="9"/>
        <v>-0.31725847192307355</v>
      </c>
    </row>
    <row r="121" spans="1:19">
      <c r="A121" s="2" t="s">
        <v>176</v>
      </c>
      <c r="B121" s="2" t="s">
        <v>36</v>
      </c>
      <c r="C121" s="25">
        <v>45586</v>
      </c>
      <c r="D121" s="2" t="s">
        <v>29</v>
      </c>
      <c r="E121" s="2">
        <v>780</v>
      </c>
      <c r="F121" s="2">
        <v>928</v>
      </c>
      <c r="G121" s="2">
        <v>301</v>
      </c>
      <c r="H121" s="3">
        <v>8580</v>
      </c>
      <c r="I121" s="2">
        <v>8081</v>
      </c>
      <c r="J121" s="3">
        <v>91</v>
      </c>
      <c r="K121" s="2" t="s">
        <v>31</v>
      </c>
      <c r="L121" s="2" t="s">
        <v>416</v>
      </c>
      <c r="M121" s="2" t="s">
        <v>416</v>
      </c>
      <c r="N121" s="2" t="s">
        <v>26</v>
      </c>
      <c r="O121" s="12">
        <f t="shared" si="5"/>
        <v>23.414918414918414</v>
      </c>
      <c r="P121" t="str">
        <f t="shared" si="6"/>
        <v>Before</v>
      </c>
      <c r="Q121" s="11">
        <f t="shared" ca="1" si="7"/>
        <v>16.204201717530079</v>
      </c>
      <c r="R121" s="11">
        <f t="shared" ca="1" si="8"/>
        <v>11.127037088040739</v>
      </c>
      <c r="S121" s="35">
        <f t="shared" ca="1" si="9"/>
        <v>-0.31332395868639101</v>
      </c>
    </row>
    <row r="122" spans="1:19">
      <c r="A122" s="2" t="s">
        <v>177</v>
      </c>
      <c r="B122" s="2" t="s">
        <v>28</v>
      </c>
      <c r="C122" s="25">
        <v>45502</v>
      </c>
      <c r="D122" s="2" t="s">
        <v>29</v>
      </c>
      <c r="E122" s="2">
        <v>498</v>
      </c>
      <c r="F122" s="2">
        <v>701</v>
      </c>
      <c r="G122" s="2">
        <v>412</v>
      </c>
      <c r="H122" s="3">
        <v>4980</v>
      </c>
      <c r="I122" s="2">
        <v>4185</v>
      </c>
      <c r="J122" s="3">
        <v>185</v>
      </c>
      <c r="K122" s="2" t="s">
        <v>50</v>
      </c>
      <c r="L122" s="2" t="s">
        <v>416</v>
      </c>
      <c r="M122" s="2" t="s">
        <v>416</v>
      </c>
      <c r="O122" s="12">
        <f t="shared" si="5"/>
        <v>32.349397590361448</v>
      </c>
      <c r="P122" t="str">
        <f t="shared" si="6"/>
        <v>Before</v>
      </c>
      <c r="Q122" s="11">
        <f t="shared" ca="1" si="7"/>
        <v>16.160233932789907</v>
      </c>
      <c r="R122" s="11">
        <f t="shared" ca="1" si="8"/>
        <v>11.127037088040739</v>
      </c>
      <c r="S122" s="35">
        <f t="shared" ca="1" si="9"/>
        <v>-0.31145569214419389</v>
      </c>
    </row>
    <row r="123" spans="1:19">
      <c r="A123" s="2" t="s">
        <v>178</v>
      </c>
      <c r="B123" s="2" t="s">
        <v>28</v>
      </c>
      <c r="C123" s="25">
        <v>45567</v>
      </c>
      <c r="D123" s="2" t="s">
        <v>19</v>
      </c>
      <c r="E123" s="2">
        <v>3432</v>
      </c>
      <c r="F123" s="2">
        <v>869</v>
      </c>
      <c r="G123" s="2">
        <v>123</v>
      </c>
      <c r="H123" s="3">
        <v>54912</v>
      </c>
      <c r="I123" s="2">
        <v>53916</v>
      </c>
      <c r="J123" s="3">
        <v>264</v>
      </c>
      <c r="K123" s="2" t="s">
        <v>31</v>
      </c>
      <c r="L123" s="2" t="s">
        <v>416</v>
      </c>
      <c r="M123" s="2" t="s">
        <v>416</v>
      </c>
      <c r="N123" s="2" t="s">
        <v>21</v>
      </c>
      <c r="O123" s="12">
        <f t="shared" si="5"/>
        <v>8.0565268065268061</v>
      </c>
      <c r="P123" t="str">
        <f t="shared" si="6"/>
        <v>Before</v>
      </c>
      <c r="Q123" s="11">
        <f t="shared" ca="1" si="7"/>
        <v>16.060913910350816</v>
      </c>
      <c r="R123" s="11">
        <f t="shared" ca="1" si="8"/>
        <v>11.127037088040739</v>
      </c>
      <c r="S123" s="35">
        <f t="shared" ca="1" si="9"/>
        <v>-0.30719776283280681</v>
      </c>
    </row>
    <row r="124" spans="1:19">
      <c r="A124" s="2" t="s">
        <v>179</v>
      </c>
      <c r="B124" s="2" t="s">
        <v>28</v>
      </c>
      <c r="C124" s="25">
        <v>45457</v>
      </c>
      <c r="D124" s="2" t="s">
        <v>29</v>
      </c>
      <c r="E124" s="2">
        <v>4363</v>
      </c>
      <c r="F124" s="2">
        <v>649</v>
      </c>
      <c r="G124" s="2">
        <v>140</v>
      </c>
      <c r="H124" s="3">
        <v>21815</v>
      </c>
      <c r="I124" s="2">
        <v>21481</v>
      </c>
      <c r="J124" s="3">
        <v>157</v>
      </c>
      <c r="K124" s="2" t="s">
        <v>31</v>
      </c>
      <c r="L124" s="2" t="s">
        <v>416</v>
      </c>
      <c r="M124" s="2" t="s">
        <v>416</v>
      </c>
      <c r="N124" s="2" t="s">
        <v>17</v>
      </c>
      <c r="O124" s="12">
        <f t="shared" si="5"/>
        <v>23.61677744671098</v>
      </c>
      <c r="P124" t="str">
        <f t="shared" si="6"/>
        <v>Before</v>
      </c>
      <c r="Q124" s="11">
        <f t="shared" ca="1" si="7"/>
        <v>16.110323707288003</v>
      </c>
      <c r="R124" s="11">
        <f t="shared" ca="1" si="8"/>
        <v>11.127037088040739</v>
      </c>
      <c r="S124" s="35">
        <f t="shared" ca="1" si="9"/>
        <v>-0.30932256295960836</v>
      </c>
    </row>
    <row r="125" spans="1:19">
      <c r="A125" s="2" t="s">
        <v>180</v>
      </c>
      <c r="B125" s="2" t="s">
        <v>23</v>
      </c>
      <c r="C125" s="25">
        <v>45753</v>
      </c>
      <c r="D125" s="2" t="s">
        <v>38</v>
      </c>
      <c r="E125" s="2">
        <v>736</v>
      </c>
      <c r="F125" s="2">
        <v>771</v>
      </c>
      <c r="G125" s="2">
        <v>225</v>
      </c>
      <c r="H125" s="3">
        <v>5152</v>
      </c>
      <c r="I125" s="2">
        <v>4706</v>
      </c>
      <c r="J125" s="3">
        <v>19</v>
      </c>
      <c r="K125" s="2" t="s">
        <v>31</v>
      </c>
      <c r="L125" s="2" t="s">
        <v>416</v>
      </c>
      <c r="M125" s="2" t="s">
        <v>416</v>
      </c>
      <c r="N125" s="2" t="s">
        <v>17</v>
      </c>
      <c r="O125" s="12">
        <f t="shared" si="5"/>
        <v>33.618012422360252</v>
      </c>
      <c r="P125" t="str">
        <f t="shared" si="6"/>
        <v>Before</v>
      </c>
      <c r="Q125" s="11">
        <f t="shared" ca="1" si="7"/>
        <v>16.063699771018292</v>
      </c>
      <c r="R125" s="11">
        <f t="shared" ca="1" si="8"/>
        <v>11.127037088040739</v>
      </c>
      <c r="S125" s="35">
        <f t="shared" ca="1" si="9"/>
        <v>-0.30731791264451741</v>
      </c>
    </row>
    <row r="126" spans="1:19">
      <c r="A126" s="2" t="s">
        <v>181</v>
      </c>
      <c r="B126" s="2" t="s">
        <v>14</v>
      </c>
      <c r="C126" s="25">
        <v>45543</v>
      </c>
      <c r="D126" s="2" t="s">
        <v>38</v>
      </c>
      <c r="E126" s="2">
        <v>3811</v>
      </c>
      <c r="F126" s="2">
        <v>866</v>
      </c>
      <c r="G126" s="2">
        <v>216</v>
      </c>
      <c r="H126" s="3">
        <v>34299</v>
      </c>
      <c r="I126" s="2">
        <v>34088</v>
      </c>
      <c r="J126" s="3">
        <v>233</v>
      </c>
      <c r="K126" s="2" t="s">
        <v>25</v>
      </c>
      <c r="L126" s="2" t="s">
        <v>416</v>
      </c>
      <c r="M126" s="2" t="s">
        <v>416</v>
      </c>
      <c r="N126" s="2" t="s">
        <v>32</v>
      </c>
      <c r="O126" s="12">
        <f t="shared" si="5"/>
        <v>14.265722032712326</v>
      </c>
      <c r="P126" t="str">
        <f t="shared" si="6"/>
        <v>Before</v>
      </c>
      <c r="Q126" s="11">
        <f t="shared" ca="1" si="7"/>
        <v>15.953985316947405</v>
      </c>
      <c r="R126" s="11">
        <f t="shared" ca="1" si="8"/>
        <v>11.127037088040739</v>
      </c>
      <c r="S126" s="35">
        <f t="shared" ca="1" si="9"/>
        <v>-0.30255438581726374</v>
      </c>
    </row>
    <row r="127" spans="1:19">
      <c r="A127" s="2" t="s">
        <v>182</v>
      </c>
      <c r="B127" s="2" t="s">
        <v>28</v>
      </c>
      <c r="C127" s="25">
        <v>45744</v>
      </c>
      <c r="D127" s="2" t="s">
        <v>38</v>
      </c>
      <c r="E127" s="2">
        <v>4158</v>
      </c>
      <c r="F127" s="2">
        <v>167</v>
      </c>
      <c r="G127" s="2">
        <v>241</v>
      </c>
      <c r="H127" s="3">
        <v>45738</v>
      </c>
      <c r="I127" s="2">
        <v>45183</v>
      </c>
      <c r="J127" s="3">
        <v>142</v>
      </c>
      <c r="K127" s="2" t="s">
        <v>50</v>
      </c>
      <c r="L127" s="2" t="s">
        <v>416</v>
      </c>
      <c r="M127" s="2" t="s">
        <v>416</v>
      </c>
      <c r="O127" s="12">
        <f t="shared" si="5"/>
        <v>9.9829463465827111</v>
      </c>
      <c r="P127" t="str">
        <f t="shared" si="6"/>
        <v>Before</v>
      </c>
      <c r="Q127" s="11">
        <f t="shared" ca="1" si="7"/>
        <v>15.964603325024358</v>
      </c>
      <c r="R127" s="11">
        <f t="shared" ca="1" si="8"/>
        <v>11.127037088040739</v>
      </c>
      <c r="S127" s="35">
        <f t="shared" ca="1" si="9"/>
        <v>-0.30301825472862093</v>
      </c>
    </row>
    <row r="128" spans="1:19">
      <c r="A128" s="2" t="s">
        <v>183</v>
      </c>
      <c r="B128" s="2" t="s">
        <v>36</v>
      </c>
      <c r="C128" s="25">
        <v>45684</v>
      </c>
      <c r="D128" s="2" t="s">
        <v>15</v>
      </c>
      <c r="E128" s="2">
        <v>3452</v>
      </c>
      <c r="F128" s="2">
        <v>652</v>
      </c>
      <c r="G128" s="2">
        <v>442</v>
      </c>
      <c r="H128" s="3">
        <v>65588</v>
      </c>
      <c r="I128" s="2">
        <v>65049</v>
      </c>
      <c r="J128" s="3">
        <v>158</v>
      </c>
      <c r="K128" s="2" t="s">
        <v>50</v>
      </c>
      <c r="L128" s="2" t="s">
        <v>416</v>
      </c>
      <c r="M128" s="2" t="s">
        <v>416</v>
      </c>
      <c r="N128" s="2" t="s">
        <v>26</v>
      </c>
      <c r="O128" s="12">
        <f t="shared" si="5"/>
        <v>6.9311459413307315</v>
      </c>
      <c r="P128" t="str">
        <f t="shared" si="6"/>
        <v>Before</v>
      </c>
      <c r="Q128" s="11">
        <f t="shared" ca="1" si="7"/>
        <v>16.002461913495505</v>
      </c>
      <c r="R128" s="11">
        <f t="shared" ca="1" si="8"/>
        <v>11.127037088040739</v>
      </c>
      <c r="S128" s="35">
        <f t="shared" ca="1" si="9"/>
        <v>-0.3046671725769351</v>
      </c>
    </row>
    <row r="129" spans="1:19">
      <c r="A129" s="2" t="s">
        <v>184</v>
      </c>
      <c r="B129" s="2" t="s">
        <v>14</v>
      </c>
      <c r="C129" s="25">
        <v>45667</v>
      </c>
      <c r="D129" s="2" t="s">
        <v>43</v>
      </c>
      <c r="E129" s="2">
        <v>3092</v>
      </c>
      <c r="F129" s="2">
        <v>106</v>
      </c>
      <c r="G129" s="2">
        <v>291</v>
      </c>
      <c r="H129" s="3">
        <v>27828</v>
      </c>
      <c r="I129" s="2">
        <v>27217</v>
      </c>
      <c r="J129" s="3">
        <v>102</v>
      </c>
      <c r="K129" s="2" t="s">
        <v>50</v>
      </c>
      <c r="L129" s="2" t="s">
        <v>416</v>
      </c>
      <c r="M129" s="2" t="s">
        <v>416</v>
      </c>
      <c r="O129" s="12">
        <f t="shared" si="5"/>
        <v>12.537731780940058</v>
      </c>
      <c r="P129" t="str">
        <f t="shared" si="6"/>
        <v>Before</v>
      </c>
      <c r="Q129" s="11">
        <f t="shared" ca="1" si="7"/>
        <v>16.060240996120758</v>
      </c>
      <c r="R129" s="11">
        <f t="shared" ca="1" si="8"/>
        <v>11.127037088040739</v>
      </c>
      <c r="S129" s="35">
        <f t="shared" ca="1" si="9"/>
        <v>-0.30716873484473867</v>
      </c>
    </row>
    <row r="130" spans="1:19">
      <c r="A130" s="2" t="s">
        <v>185</v>
      </c>
      <c r="B130" s="2" t="s">
        <v>14</v>
      </c>
      <c r="C130" s="25">
        <v>45494</v>
      </c>
      <c r="D130" s="2" t="s">
        <v>19</v>
      </c>
      <c r="E130" s="2">
        <v>2147</v>
      </c>
      <c r="F130" s="2">
        <v>430</v>
      </c>
      <c r="G130" s="2">
        <v>393</v>
      </c>
      <c r="H130" s="3">
        <v>17176</v>
      </c>
      <c r="I130" s="2">
        <v>16483</v>
      </c>
      <c r="J130" s="3">
        <v>170</v>
      </c>
      <c r="K130" s="2" t="s">
        <v>25</v>
      </c>
      <c r="L130" s="2" t="s">
        <v>416</v>
      </c>
      <c r="M130" s="2" t="s">
        <v>416</v>
      </c>
      <c r="O130" s="12">
        <f t="shared" si="5"/>
        <v>17.291569632044716</v>
      </c>
      <c r="P130" t="str">
        <f t="shared" si="6"/>
        <v>Before</v>
      </c>
      <c r="Q130" s="11">
        <f t="shared" ca="1" si="7"/>
        <v>16.082821183397556</v>
      </c>
      <c r="R130" s="11">
        <f t="shared" ca="1" si="8"/>
        <v>11.127037088040739</v>
      </c>
      <c r="S130" s="35">
        <f t="shared" ca="1" si="9"/>
        <v>-0.30814146590603886</v>
      </c>
    </row>
    <row r="131" spans="1:19">
      <c r="A131" s="2" t="s">
        <v>186</v>
      </c>
      <c r="B131" s="2" t="s">
        <v>23</v>
      </c>
      <c r="C131" s="25">
        <v>45564</v>
      </c>
      <c r="D131" s="2" t="s">
        <v>15</v>
      </c>
      <c r="E131" s="2">
        <v>2936</v>
      </c>
      <c r="F131" s="2">
        <v>439</v>
      </c>
      <c r="G131" s="2">
        <v>44</v>
      </c>
      <c r="H131" s="3">
        <v>38168</v>
      </c>
      <c r="I131" s="2">
        <v>37571</v>
      </c>
      <c r="J131" s="3">
        <v>22</v>
      </c>
      <c r="K131" s="2" t="s">
        <v>31</v>
      </c>
      <c r="L131" s="2" t="s">
        <v>416</v>
      </c>
      <c r="M131" s="2" t="s">
        <v>416</v>
      </c>
      <c r="N131" s="2" t="s">
        <v>32</v>
      </c>
      <c r="O131" s="12">
        <f t="shared" ref="O131:O194" si="10">((E131+F131+G131)/H131)*100</f>
        <v>8.9577656675749324</v>
      </c>
      <c r="P131" t="str">
        <f t="shared" ref="P131:P194" si="11">IF(AND(C131&gt;=$W$2,C131&lt;=$X$2),"During","Before")</f>
        <v>Before</v>
      </c>
      <c r="Q131" s="11">
        <f t="shared" ref="Q131:Q194" ca="1" si="12">AVERAGEIF(P131:P430,"Before",O131)</f>
        <v>16.075022806309512</v>
      </c>
      <c r="R131" s="11">
        <f t="shared" ref="R131:R194" ca="1" si="13">AVERAGEIF(P131:P430,"During",O131)</f>
        <v>11.127037088040739</v>
      </c>
      <c r="S131" s="35">
        <f t="shared" ref="S131:S194" ca="1" si="14">(R131-Q131)/Q131</f>
        <v>-0.30780582882449592</v>
      </c>
    </row>
    <row r="132" spans="1:19">
      <c r="A132" s="2" t="s">
        <v>187</v>
      </c>
      <c r="B132" s="2" t="s">
        <v>28</v>
      </c>
      <c r="C132" s="25">
        <v>45586</v>
      </c>
      <c r="D132" s="2" t="s">
        <v>15</v>
      </c>
      <c r="E132" s="2">
        <v>4840</v>
      </c>
      <c r="F132" s="2">
        <v>658</v>
      </c>
      <c r="G132" s="2">
        <v>211</v>
      </c>
      <c r="H132" s="3">
        <v>43560</v>
      </c>
      <c r="I132" s="2">
        <v>43225</v>
      </c>
      <c r="J132" s="3">
        <v>57</v>
      </c>
      <c r="K132" s="2" t="s">
        <v>50</v>
      </c>
      <c r="L132" s="2" t="s">
        <v>416</v>
      </c>
      <c r="M132" s="2" t="s">
        <v>416</v>
      </c>
      <c r="N132" s="2" t="s">
        <v>26</v>
      </c>
      <c r="O132" s="12">
        <f t="shared" si="10"/>
        <v>13.106060606060607</v>
      </c>
      <c r="P132" t="str">
        <f t="shared" si="11"/>
        <v>Before</v>
      </c>
      <c r="Q132" s="11">
        <f t="shared" ca="1" si="12"/>
        <v>16.121238761755841</v>
      </c>
      <c r="R132" s="11">
        <f t="shared" ca="1" si="13"/>
        <v>11.127037088040739</v>
      </c>
      <c r="S132" s="35">
        <f t="shared" ca="1" si="14"/>
        <v>-0.30979019339151326</v>
      </c>
    </row>
    <row r="133" spans="1:19">
      <c r="A133" s="2" t="s">
        <v>188</v>
      </c>
      <c r="B133" s="2" t="s">
        <v>28</v>
      </c>
      <c r="C133" s="25">
        <v>45720</v>
      </c>
      <c r="D133" s="2" t="s">
        <v>29</v>
      </c>
      <c r="E133" s="2">
        <v>1947</v>
      </c>
      <c r="F133" s="2">
        <v>842</v>
      </c>
      <c r="G133" s="2">
        <v>101</v>
      </c>
      <c r="H133" s="3">
        <v>21417</v>
      </c>
      <c r="I133" s="2">
        <v>20967</v>
      </c>
      <c r="J133" s="3">
        <v>186</v>
      </c>
      <c r="K133" s="2" t="s">
        <v>50</v>
      </c>
      <c r="L133" s="2" t="s">
        <v>416</v>
      </c>
      <c r="M133" s="2" t="s">
        <v>416</v>
      </c>
      <c r="N133" s="2" t="s">
        <v>21</v>
      </c>
      <c r="O133" s="12">
        <f t="shared" si="10"/>
        <v>13.493953401503479</v>
      </c>
      <c r="P133" t="str">
        <f t="shared" si="11"/>
        <v>Before</v>
      </c>
      <c r="Q133" s="11">
        <f t="shared" ca="1" si="12"/>
        <v>16.140945808525093</v>
      </c>
      <c r="R133" s="11">
        <f t="shared" ca="1" si="13"/>
        <v>11.127037088040739</v>
      </c>
      <c r="S133" s="35">
        <f t="shared" ca="1" si="14"/>
        <v>-0.31063289474871908</v>
      </c>
    </row>
    <row r="134" spans="1:19">
      <c r="A134" s="2" t="s">
        <v>189</v>
      </c>
      <c r="B134" s="2" t="s">
        <v>36</v>
      </c>
      <c r="C134" s="25">
        <v>45694</v>
      </c>
      <c r="D134" s="2" t="s">
        <v>43</v>
      </c>
      <c r="E134" s="2">
        <v>2072</v>
      </c>
      <c r="F134" s="2">
        <v>532</v>
      </c>
      <c r="G134" s="2">
        <v>71</v>
      </c>
      <c r="H134" s="3">
        <v>37296</v>
      </c>
      <c r="I134" s="2">
        <v>36467</v>
      </c>
      <c r="J134" s="3">
        <v>25</v>
      </c>
      <c r="K134" s="2" t="s">
        <v>25</v>
      </c>
      <c r="L134" s="2" t="s">
        <v>416</v>
      </c>
      <c r="M134" s="2" t="s">
        <v>416</v>
      </c>
      <c r="N134" s="2" t="s">
        <v>32</v>
      </c>
      <c r="O134" s="12">
        <f t="shared" si="10"/>
        <v>7.1723509223509225</v>
      </c>
      <c r="P134" t="str">
        <f t="shared" si="11"/>
        <v>Before</v>
      </c>
      <c r="Q134" s="11">
        <f t="shared" ca="1" si="12"/>
        <v>16.1583602322555</v>
      </c>
      <c r="R134" s="11">
        <f t="shared" ca="1" si="13"/>
        <v>11.127037088040739</v>
      </c>
      <c r="S134" s="35">
        <f t="shared" ca="1" si="14"/>
        <v>-0.31137584952284808</v>
      </c>
    </row>
    <row r="135" spans="1:19">
      <c r="A135" s="2" t="s">
        <v>190</v>
      </c>
      <c r="B135" s="2" t="s">
        <v>14</v>
      </c>
      <c r="C135" s="25">
        <v>45771</v>
      </c>
      <c r="D135" s="2" t="s">
        <v>15</v>
      </c>
      <c r="E135" s="2">
        <v>3731</v>
      </c>
      <c r="F135" s="2">
        <v>115</v>
      </c>
      <c r="G135" s="2">
        <v>135</v>
      </c>
      <c r="H135" s="3">
        <v>55965</v>
      </c>
      <c r="I135" s="2">
        <v>55436</v>
      </c>
      <c r="J135" s="3">
        <v>103</v>
      </c>
      <c r="K135" s="2" t="s">
        <v>25</v>
      </c>
      <c r="L135" s="2" t="s">
        <v>416</v>
      </c>
      <c r="M135" s="2" t="s">
        <v>416</v>
      </c>
      <c r="N135" s="2" t="s">
        <v>17</v>
      </c>
      <c r="O135" s="12">
        <f t="shared" si="10"/>
        <v>7.1133744304476014</v>
      </c>
      <c r="P135" t="str">
        <f t="shared" si="11"/>
        <v>Before</v>
      </c>
      <c r="Q135" s="11">
        <f t="shared" ca="1" si="12"/>
        <v>16.217870227685331</v>
      </c>
      <c r="R135" s="11">
        <f t="shared" ca="1" si="13"/>
        <v>11.127037088040739</v>
      </c>
      <c r="S135" s="35">
        <f t="shared" ca="1" si="14"/>
        <v>-0.31390269302772522</v>
      </c>
    </row>
    <row r="136" spans="1:19">
      <c r="A136" s="2" t="s">
        <v>191</v>
      </c>
      <c r="B136" s="2" t="s">
        <v>36</v>
      </c>
      <c r="C136" s="25">
        <v>45624</v>
      </c>
      <c r="D136" s="2" t="s">
        <v>19</v>
      </c>
      <c r="E136" s="2">
        <v>4213</v>
      </c>
      <c r="F136" s="2">
        <v>253</v>
      </c>
      <c r="G136" s="2">
        <v>434</v>
      </c>
      <c r="H136" s="3">
        <v>75834</v>
      </c>
      <c r="I136" s="2">
        <v>75437</v>
      </c>
      <c r="J136" s="3">
        <v>272</v>
      </c>
      <c r="K136" s="2" t="s">
        <v>50</v>
      </c>
      <c r="L136" s="2" t="s">
        <v>416</v>
      </c>
      <c r="M136" s="2" t="s">
        <v>416</v>
      </c>
      <c r="N136" s="2" t="s">
        <v>32</v>
      </c>
      <c r="O136" s="12">
        <f t="shared" si="10"/>
        <v>6.4614816573041116</v>
      </c>
      <c r="P136" t="str">
        <f t="shared" si="11"/>
        <v>Before</v>
      </c>
      <c r="Q136" s="11">
        <f t="shared" ca="1" si="12"/>
        <v>16.278566866333584</v>
      </c>
      <c r="R136" s="11">
        <f t="shared" ca="1" si="13"/>
        <v>11.127037088040739</v>
      </c>
      <c r="S136" s="35">
        <f t="shared" ca="1" si="14"/>
        <v>-0.31646089121929705</v>
      </c>
    </row>
    <row r="137" spans="1:19">
      <c r="A137" s="2" t="s">
        <v>192</v>
      </c>
      <c r="B137" s="2" t="s">
        <v>28</v>
      </c>
      <c r="C137" s="25">
        <v>45484</v>
      </c>
      <c r="D137" s="2" t="s">
        <v>19</v>
      </c>
      <c r="E137" s="2">
        <v>3134</v>
      </c>
      <c r="F137" s="2">
        <v>888</v>
      </c>
      <c r="G137" s="2">
        <v>444</v>
      </c>
      <c r="H137" s="3">
        <v>21938</v>
      </c>
      <c r="I137" s="2">
        <v>21337</v>
      </c>
      <c r="J137" s="3">
        <v>130</v>
      </c>
      <c r="K137" s="2" t="s">
        <v>31</v>
      </c>
      <c r="L137" s="2" t="s">
        <v>416</v>
      </c>
      <c r="M137" s="2" t="s">
        <v>416</v>
      </c>
      <c r="N137" s="2" t="s">
        <v>32</v>
      </c>
      <c r="O137" s="12">
        <f t="shared" si="10"/>
        <v>20.357370772176132</v>
      </c>
      <c r="P137" t="str">
        <f t="shared" si="11"/>
        <v>During</v>
      </c>
      <c r="Q137" s="11">
        <f t="shared" ca="1" si="12"/>
        <v>16.344453344246535</v>
      </c>
      <c r="R137" s="11">
        <f t="shared" ca="1" si="13"/>
        <v>11.127037088040739</v>
      </c>
      <c r="S137" s="35">
        <f t="shared" ca="1" si="14"/>
        <v>-0.31921632044319159</v>
      </c>
    </row>
    <row r="138" spans="1:19">
      <c r="A138" s="2" t="s">
        <v>193</v>
      </c>
      <c r="B138" s="2" t="s">
        <v>36</v>
      </c>
      <c r="C138" s="25">
        <v>45504</v>
      </c>
      <c r="D138" s="2" t="s">
        <v>58</v>
      </c>
      <c r="E138" s="2">
        <v>3008</v>
      </c>
      <c r="F138" s="2">
        <v>94</v>
      </c>
      <c r="G138" s="2">
        <v>37</v>
      </c>
      <c r="H138" s="3">
        <v>15040</v>
      </c>
      <c r="I138" s="2">
        <v>14639</v>
      </c>
      <c r="J138" s="3">
        <v>277</v>
      </c>
      <c r="K138" s="2" t="s">
        <v>50</v>
      </c>
      <c r="L138" s="2" t="s">
        <v>416</v>
      </c>
      <c r="M138" s="2" t="s">
        <v>416</v>
      </c>
      <c r="O138" s="12">
        <f t="shared" si="10"/>
        <v>20.871010638297872</v>
      </c>
      <c r="P138" t="str">
        <f t="shared" si="11"/>
        <v>Before</v>
      </c>
      <c r="Q138" s="11">
        <f t="shared" ca="1" si="12"/>
        <v>16.344453344246535</v>
      </c>
      <c r="R138" s="11">
        <f t="shared" ca="1" si="13"/>
        <v>10.511681509098382</v>
      </c>
      <c r="S138" s="35">
        <f t="shared" ca="1" si="14"/>
        <v>-0.35686551959239221</v>
      </c>
    </row>
    <row r="139" spans="1:19">
      <c r="A139" s="2" t="s">
        <v>194</v>
      </c>
      <c r="B139" s="2" t="s">
        <v>14</v>
      </c>
      <c r="C139" s="25">
        <v>45745</v>
      </c>
      <c r="D139" s="2" t="s">
        <v>43</v>
      </c>
      <c r="E139" s="2">
        <v>305</v>
      </c>
      <c r="F139" s="2">
        <v>187</v>
      </c>
      <c r="G139" s="2">
        <v>243</v>
      </c>
      <c r="H139" s="3">
        <v>4575</v>
      </c>
      <c r="I139" s="2">
        <v>3704</v>
      </c>
      <c r="J139" s="3">
        <v>234</v>
      </c>
      <c r="K139" s="2" t="s">
        <v>50</v>
      </c>
      <c r="L139" s="2" t="s">
        <v>416</v>
      </c>
      <c r="M139" s="2" t="s">
        <v>416</v>
      </c>
      <c r="N139" s="2" t="s">
        <v>26</v>
      </c>
      <c r="O139" s="12">
        <f t="shared" si="10"/>
        <v>16.065573770491802</v>
      </c>
      <c r="P139" t="str">
        <f t="shared" si="11"/>
        <v>Before</v>
      </c>
      <c r="Q139" s="11">
        <f t="shared" ca="1" si="12"/>
        <v>16.313868497665101</v>
      </c>
      <c r="R139" s="11">
        <f t="shared" ca="1" si="13"/>
        <v>10.511681509098382</v>
      </c>
      <c r="S139" s="35">
        <f t="shared" ca="1" si="14"/>
        <v>-0.3556597866040877</v>
      </c>
    </row>
    <row r="140" spans="1:19">
      <c r="A140" s="2" t="s">
        <v>195</v>
      </c>
      <c r="B140" s="2" t="s">
        <v>23</v>
      </c>
      <c r="C140" s="25">
        <v>45594</v>
      </c>
      <c r="D140" s="2" t="s">
        <v>19</v>
      </c>
      <c r="E140" s="2">
        <v>2746</v>
      </c>
      <c r="F140" s="2">
        <v>156</v>
      </c>
      <c r="G140" s="2">
        <v>203</v>
      </c>
      <c r="H140" s="3">
        <v>32952</v>
      </c>
      <c r="I140" s="2">
        <v>32147</v>
      </c>
      <c r="J140" s="3">
        <v>147</v>
      </c>
      <c r="K140" s="2" t="s">
        <v>31</v>
      </c>
      <c r="L140" s="2" t="s">
        <v>416</v>
      </c>
      <c r="M140" s="2" t="s">
        <v>416</v>
      </c>
      <c r="N140" s="2" t="s">
        <v>17</v>
      </c>
      <c r="O140" s="12">
        <f t="shared" si="10"/>
        <v>9.4227967953386749</v>
      </c>
      <c r="P140" t="str">
        <f t="shared" si="11"/>
        <v>Before</v>
      </c>
      <c r="Q140" s="11">
        <f t="shared" ca="1" si="12"/>
        <v>16.31555757744179</v>
      </c>
      <c r="R140" s="11">
        <f t="shared" ca="1" si="13"/>
        <v>10.511681509098382</v>
      </c>
      <c r="S140" s="35">
        <f t="shared" ca="1" si="14"/>
        <v>-0.35572649238589066</v>
      </c>
    </row>
    <row r="141" spans="1:19">
      <c r="A141" s="2" t="s">
        <v>196</v>
      </c>
      <c r="B141" s="2" t="s">
        <v>36</v>
      </c>
      <c r="C141" s="25">
        <v>45488</v>
      </c>
      <c r="D141" s="2" t="s">
        <v>43</v>
      </c>
      <c r="E141" s="2">
        <v>2291</v>
      </c>
      <c r="F141" s="2">
        <v>78</v>
      </c>
      <c r="G141" s="2">
        <v>485</v>
      </c>
      <c r="H141" s="3">
        <v>18328</v>
      </c>
      <c r="I141" s="2">
        <v>18101</v>
      </c>
      <c r="J141" s="3">
        <v>10</v>
      </c>
      <c r="K141" s="2" t="s">
        <v>31</v>
      </c>
      <c r="L141" s="2" t="s">
        <v>381</v>
      </c>
      <c r="M141" s="2" t="s">
        <v>416</v>
      </c>
      <c r="N141" s="2" t="s">
        <v>21</v>
      </c>
      <c r="O141" s="12">
        <f t="shared" si="10"/>
        <v>15.571802706241817</v>
      </c>
      <c r="P141" t="str">
        <f t="shared" si="11"/>
        <v>During</v>
      </c>
      <c r="Q141" s="11">
        <f t="shared" ca="1" si="12"/>
        <v>16.362768267730171</v>
      </c>
      <c r="R141" s="11">
        <f t="shared" ca="1" si="13"/>
        <v>10.511681509098382</v>
      </c>
      <c r="S141" s="35">
        <f t="shared" ca="1" si="14"/>
        <v>-0.35758538304126741</v>
      </c>
    </row>
    <row r="142" spans="1:19">
      <c r="A142" s="2" t="s">
        <v>198</v>
      </c>
      <c r="B142" s="2" t="s">
        <v>14</v>
      </c>
      <c r="C142" s="25">
        <v>45535</v>
      </c>
      <c r="D142" s="2" t="s">
        <v>43</v>
      </c>
      <c r="E142" s="2">
        <v>3170</v>
      </c>
      <c r="F142" s="2">
        <v>857</v>
      </c>
      <c r="G142" s="2">
        <v>379</v>
      </c>
      <c r="H142" s="3">
        <v>19020</v>
      </c>
      <c r="I142" s="2">
        <v>18559</v>
      </c>
      <c r="J142" s="3">
        <v>240</v>
      </c>
      <c r="K142" s="2" t="s">
        <v>50</v>
      </c>
      <c r="L142" s="2" t="s">
        <v>416</v>
      </c>
      <c r="M142" s="2" t="s">
        <v>416</v>
      </c>
      <c r="O142" s="12">
        <f t="shared" si="10"/>
        <v>23.16508937960042</v>
      </c>
      <c r="P142" t="str">
        <f t="shared" si="11"/>
        <v>Before</v>
      </c>
      <c r="Q142" s="11">
        <f t="shared" ca="1" si="12"/>
        <v>16.362768267730171</v>
      </c>
      <c r="R142" s="11">
        <f t="shared" ca="1" si="13"/>
        <v>10.150244280730991</v>
      </c>
      <c r="S142" s="35">
        <f t="shared" ca="1" si="14"/>
        <v>-0.37967438549204463</v>
      </c>
    </row>
    <row r="143" spans="1:19">
      <c r="A143" s="2" t="s">
        <v>199</v>
      </c>
      <c r="B143" s="2" t="s">
        <v>23</v>
      </c>
      <c r="C143" s="25">
        <v>45741</v>
      </c>
      <c r="D143" s="2" t="s">
        <v>29</v>
      </c>
      <c r="E143" s="2">
        <v>2070</v>
      </c>
      <c r="F143" s="2">
        <v>275</v>
      </c>
      <c r="G143" s="2">
        <v>386</v>
      </c>
      <c r="H143" s="3">
        <v>39330</v>
      </c>
      <c r="I143" s="2">
        <v>38627</v>
      </c>
      <c r="J143" s="3">
        <v>114</v>
      </c>
      <c r="K143" s="2" t="s">
        <v>50</v>
      </c>
      <c r="L143" s="2" t="s">
        <v>416</v>
      </c>
      <c r="M143" s="2" t="s">
        <v>416</v>
      </c>
      <c r="N143" s="2" t="s">
        <v>32</v>
      </c>
      <c r="O143" s="12">
        <f t="shared" si="10"/>
        <v>6.9438087973557074</v>
      </c>
      <c r="P143" t="str">
        <f t="shared" si="11"/>
        <v>Before</v>
      </c>
      <c r="Q143" s="11">
        <f t="shared" ca="1" si="12"/>
        <v>16.31585570833796</v>
      </c>
      <c r="R143" s="11">
        <f t="shared" ca="1" si="13"/>
        <v>10.150244280730991</v>
      </c>
      <c r="S143" s="35">
        <f t="shared" ca="1" si="14"/>
        <v>-0.37789077924096437</v>
      </c>
    </row>
    <row r="144" spans="1:19">
      <c r="A144" s="2" t="s">
        <v>200</v>
      </c>
      <c r="B144" s="2" t="s">
        <v>23</v>
      </c>
      <c r="C144" s="25">
        <v>45567</v>
      </c>
      <c r="D144" s="2" t="s">
        <v>38</v>
      </c>
      <c r="E144" s="2">
        <v>80</v>
      </c>
      <c r="F144" s="2">
        <v>362</v>
      </c>
      <c r="G144" s="2">
        <v>80</v>
      </c>
      <c r="H144" s="3">
        <v>1040</v>
      </c>
      <c r="I144" s="2">
        <v>349</v>
      </c>
      <c r="J144" s="3">
        <v>117</v>
      </c>
      <c r="K144" s="2" t="s">
        <v>25</v>
      </c>
      <c r="L144" s="2" t="s">
        <v>416</v>
      </c>
      <c r="M144" s="2" t="s">
        <v>416</v>
      </c>
      <c r="N144" s="2" t="s">
        <v>26</v>
      </c>
      <c r="O144" s="12">
        <f t="shared" si="10"/>
        <v>50.192307692307693</v>
      </c>
      <c r="P144" t="str">
        <f t="shared" si="11"/>
        <v>Before</v>
      </c>
      <c r="Q144" s="11">
        <f t="shared" ca="1" si="12"/>
        <v>16.380939367442</v>
      </c>
      <c r="R144" s="11">
        <f t="shared" ca="1" si="13"/>
        <v>10.150244280730991</v>
      </c>
      <c r="S144" s="35">
        <f t="shared" ca="1" si="14"/>
        <v>-0.38036250223200579</v>
      </c>
    </row>
    <row r="145" spans="1:19">
      <c r="A145" s="2" t="s">
        <v>201</v>
      </c>
      <c r="B145" s="2" t="s">
        <v>23</v>
      </c>
      <c r="C145" s="25">
        <v>45593</v>
      </c>
      <c r="D145" s="2" t="s">
        <v>29</v>
      </c>
      <c r="E145" s="2">
        <v>4929</v>
      </c>
      <c r="F145" s="2">
        <v>749</v>
      </c>
      <c r="G145" s="2">
        <v>452</v>
      </c>
      <c r="H145" s="3">
        <v>93651</v>
      </c>
      <c r="I145" s="2">
        <v>92810</v>
      </c>
      <c r="J145" s="3">
        <v>66</v>
      </c>
      <c r="K145" s="2" t="s">
        <v>31</v>
      </c>
      <c r="L145" s="2" t="s">
        <v>416</v>
      </c>
      <c r="M145" s="2" t="s">
        <v>416</v>
      </c>
      <c r="N145" s="2" t="s">
        <v>32</v>
      </c>
      <c r="O145" s="12">
        <f t="shared" si="10"/>
        <v>6.5455787978772246</v>
      </c>
      <c r="P145" t="str">
        <f t="shared" si="11"/>
        <v>Before</v>
      </c>
      <c r="Q145" s="11">
        <f t="shared" ca="1" si="12"/>
        <v>16.14449623230308</v>
      </c>
      <c r="R145" s="11">
        <f t="shared" ca="1" si="13"/>
        <v>10.150244280730991</v>
      </c>
      <c r="S145" s="35">
        <f t="shared" ca="1" si="14"/>
        <v>-0.371287642879705</v>
      </c>
    </row>
    <row r="146" spans="1:19">
      <c r="A146" s="2" t="s">
        <v>202</v>
      </c>
      <c r="B146" s="2" t="s">
        <v>28</v>
      </c>
      <c r="C146" s="25">
        <v>45516</v>
      </c>
      <c r="D146" s="2" t="s">
        <v>38</v>
      </c>
      <c r="E146" s="2">
        <v>1878</v>
      </c>
      <c r="F146" s="2">
        <v>62</v>
      </c>
      <c r="G146" s="2">
        <v>179</v>
      </c>
      <c r="H146" s="3">
        <v>37560</v>
      </c>
      <c r="I146" s="2">
        <v>36874</v>
      </c>
      <c r="J146" s="3">
        <v>142</v>
      </c>
      <c r="K146" s="2" t="s">
        <v>25</v>
      </c>
      <c r="L146" s="2" t="s">
        <v>416</v>
      </c>
      <c r="M146" s="2" t="s">
        <v>416</v>
      </c>
      <c r="N146" s="2" t="s">
        <v>32</v>
      </c>
      <c r="O146" s="12">
        <f t="shared" si="10"/>
        <v>5.6416400425985094</v>
      </c>
      <c r="P146" t="str">
        <f t="shared" si="11"/>
        <v>Before</v>
      </c>
      <c r="Q146" s="11">
        <f t="shared" ca="1" si="12"/>
        <v>16.212094242404671</v>
      </c>
      <c r="R146" s="11">
        <f t="shared" ca="1" si="13"/>
        <v>10.150244280730991</v>
      </c>
      <c r="S146" s="35">
        <f t="shared" ca="1" si="14"/>
        <v>-0.37390912432634316</v>
      </c>
    </row>
    <row r="147" spans="1:19">
      <c r="A147" s="2" t="s">
        <v>203</v>
      </c>
      <c r="B147" s="2" t="s">
        <v>23</v>
      </c>
      <c r="C147" s="25">
        <v>45448</v>
      </c>
      <c r="D147" s="2" t="s">
        <v>15</v>
      </c>
      <c r="E147" s="2">
        <v>3065</v>
      </c>
      <c r="F147" s="2">
        <v>772</v>
      </c>
      <c r="G147" s="2">
        <v>142</v>
      </c>
      <c r="H147" s="3">
        <v>18390</v>
      </c>
      <c r="I147" s="2">
        <v>17875</v>
      </c>
      <c r="J147" s="3">
        <v>200</v>
      </c>
      <c r="K147" s="2" t="s">
        <v>31</v>
      </c>
      <c r="L147" s="2" t="s">
        <v>386</v>
      </c>
      <c r="M147" s="2" t="s">
        <v>416</v>
      </c>
      <c r="O147" s="12">
        <f t="shared" si="10"/>
        <v>21.636759108210985</v>
      </c>
      <c r="P147" t="str">
        <f t="shared" si="11"/>
        <v>Before</v>
      </c>
      <c r="Q147" s="11">
        <f t="shared" ca="1" si="12"/>
        <v>16.28706200268698</v>
      </c>
      <c r="R147" s="11">
        <f t="shared" ca="1" si="13"/>
        <v>10.150244280730991</v>
      </c>
      <c r="S147" s="35">
        <f t="shared" ca="1" si="14"/>
        <v>-0.37679095965518883</v>
      </c>
    </row>
    <row r="148" spans="1:19">
      <c r="A148" s="2" t="s">
        <v>204</v>
      </c>
      <c r="B148" s="2" t="s">
        <v>28</v>
      </c>
      <c r="C148" s="25">
        <v>45586</v>
      </c>
      <c r="D148" s="2" t="s">
        <v>15</v>
      </c>
      <c r="E148" s="2">
        <v>3256</v>
      </c>
      <c r="F148" s="2">
        <v>459</v>
      </c>
      <c r="G148" s="2">
        <v>266</v>
      </c>
      <c r="H148" s="3">
        <v>26048</v>
      </c>
      <c r="I148" s="2">
        <v>25529</v>
      </c>
      <c r="J148" s="3">
        <v>143</v>
      </c>
      <c r="K148" s="2" t="s">
        <v>25</v>
      </c>
      <c r="L148" s="2" t="s">
        <v>416</v>
      </c>
      <c r="M148" s="2" t="s">
        <v>416</v>
      </c>
      <c r="N148" s="2" t="s">
        <v>21</v>
      </c>
      <c r="O148" s="12">
        <f t="shared" si="10"/>
        <v>15.283323095823095</v>
      </c>
      <c r="P148" t="str">
        <f t="shared" si="11"/>
        <v>Before</v>
      </c>
      <c r="Q148" s="11">
        <f t="shared" ca="1" si="12"/>
        <v>16.248849880504672</v>
      </c>
      <c r="R148" s="11">
        <f t="shared" ca="1" si="13"/>
        <v>10.150244280730991</v>
      </c>
      <c r="S148" s="35">
        <f t="shared" ca="1" si="14"/>
        <v>-0.37532537038764646</v>
      </c>
    </row>
    <row r="149" spans="1:19">
      <c r="A149" s="2" t="s">
        <v>205</v>
      </c>
      <c r="B149" s="2" t="s">
        <v>28</v>
      </c>
      <c r="C149" s="25">
        <v>45762</v>
      </c>
      <c r="D149" s="2" t="s">
        <v>58</v>
      </c>
      <c r="E149" s="2">
        <v>4133</v>
      </c>
      <c r="F149" s="2">
        <v>466</v>
      </c>
      <c r="G149" s="2">
        <v>327</v>
      </c>
      <c r="H149" s="3">
        <v>24798</v>
      </c>
      <c r="I149" s="2">
        <v>24620</v>
      </c>
      <c r="J149" s="3">
        <v>176</v>
      </c>
      <c r="K149" s="2" t="s">
        <v>31</v>
      </c>
      <c r="L149" s="2" t="s">
        <v>416</v>
      </c>
      <c r="M149" s="2" t="s">
        <v>416</v>
      </c>
      <c r="N149" s="2" t="s">
        <v>32</v>
      </c>
      <c r="O149" s="12">
        <f t="shared" si="10"/>
        <v>19.864505202032422</v>
      </c>
      <c r="P149" t="str">
        <f t="shared" si="11"/>
        <v>Before</v>
      </c>
      <c r="Q149" s="11">
        <f t="shared" ca="1" si="12"/>
        <v>16.255796116365691</v>
      </c>
      <c r="R149" s="11">
        <f t="shared" ca="1" si="13"/>
        <v>10.150244280730991</v>
      </c>
      <c r="S149" s="35">
        <f t="shared" ca="1" si="14"/>
        <v>-0.37559229901314228</v>
      </c>
    </row>
    <row r="150" spans="1:19">
      <c r="A150" s="2" t="s">
        <v>206</v>
      </c>
      <c r="B150" s="2" t="s">
        <v>14</v>
      </c>
      <c r="C150" s="25">
        <v>45459</v>
      </c>
      <c r="D150" s="2" t="s">
        <v>58</v>
      </c>
      <c r="E150" s="2">
        <v>1702</v>
      </c>
      <c r="F150" s="2">
        <v>750</v>
      </c>
      <c r="G150" s="2">
        <v>179</v>
      </c>
      <c r="H150" s="3">
        <v>34040</v>
      </c>
      <c r="I150" s="2">
        <v>33174</v>
      </c>
      <c r="J150" s="3">
        <v>76</v>
      </c>
      <c r="K150" s="2" t="s">
        <v>31</v>
      </c>
      <c r="L150" s="2" t="s">
        <v>416</v>
      </c>
      <c r="M150" s="2" t="s">
        <v>416</v>
      </c>
      <c r="N150" s="2" t="s">
        <v>17</v>
      </c>
      <c r="O150" s="12">
        <f t="shared" si="10"/>
        <v>7.7291421856639246</v>
      </c>
      <c r="P150" t="str">
        <f t="shared" si="11"/>
        <v>During</v>
      </c>
      <c r="Q150" s="11">
        <f t="shared" ca="1" si="12"/>
        <v>16.229646050527524</v>
      </c>
      <c r="R150" s="11">
        <f t="shared" ca="1" si="13"/>
        <v>10.150244280730991</v>
      </c>
      <c r="S150" s="35">
        <f t="shared" ca="1" si="14"/>
        <v>-0.3745862202336156</v>
      </c>
    </row>
    <row r="151" spans="1:19">
      <c r="A151" s="2" t="s">
        <v>207</v>
      </c>
      <c r="B151" s="2" t="s">
        <v>23</v>
      </c>
      <c r="C151" s="25">
        <v>45526</v>
      </c>
      <c r="D151" s="2" t="s">
        <v>38</v>
      </c>
      <c r="E151" s="2">
        <v>4295</v>
      </c>
      <c r="F151" s="2">
        <v>853</v>
      </c>
      <c r="G151" s="2">
        <v>325</v>
      </c>
      <c r="H151" s="3">
        <v>85900</v>
      </c>
      <c r="I151" s="2">
        <v>85788</v>
      </c>
      <c r="J151" s="3">
        <v>290</v>
      </c>
      <c r="K151" s="2" t="s">
        <v>25</v>
      </c>
      <c r="L151" s="2" t="s">
        <v>416</v>
      </c>
      <c r="M151" s="2" t="s">
        <v>416</v>
      </c>
      <c r="N151" s="2" t="s">
        <v>32</v>
      </c>
      <c r="O151" s="12">
        <f t="shared" si="10"/>
        <v>6.3713620488940625</v>
      </c>
      <c r="P151" t="str">
        <f t="shared" si="11"/>
        <v>Before</v>
      </c>
      <c r="Q151" s="11">
        <f t="shared" ca="1" si="12"/>
        <v>16.229646050527524</v>
      </c>
      <c r="R151" s="11">
        <f t="shared" ca="1" si="13"/>
        <v>10.336482903428459</v>
      </c>
      <c r="S151" s="35">
        <f t="shared" ca="1" si="14"/>
        <v>-0.36311100862902151</v>
      </c>
    </row>
    <row r="152" spans="1:19">
      <c r="A152" s="2" t="s">
        <v>208</v>
      </c>
      <c r="B152" s="2" t="s">
        <v>28</v>
      </c>
      <c r="C152" s="25">
        <v>45499</v>
      </c>
      <c r="D152" s="2" t="s">
        <v>43</v>
      </c>
      <c r="E152" s="2">
        <v>3559</v>
      </c>
      <c r="F152" s="2">
        <v>59</v>
      </c>
      <c r="G152" s="2">
        <v>289</v>
      </c>
      <c r="H152" s="3">
        <v>35590</v>
      </c>
      <c r="I152" s="2">
        <v>35105</v>
      </c>
      <c r="J152" s="3">
        <v>122</v>
      </c>
      <c r="K152" s="2" t="s">
        <v>31</v>
      </c>
      <c r="L152" s="2" t="s">
        <v>416</v>
      </c>
      <c r="M152" s="2" t="s">
        <v>416</v>
      </c>
      <c r="N152" s="2" t="s">
        <v>17</v>
      </c>
      <c r="O152" s="12">
        <f t="shared" si="10"/>
        <v>10.977802753582468</v>
      </c>
      <c r="P152" t="str">
        <f t="shared" si="11"/>
        <v>Before</v>
      </c>
      <c r="Q152" s="11">
        <f t="shared" ca="1" si="12"/>
        <v>16.301604327911708</v>
      </c>
      <c r="R152" s="11">
        <f t="shared" ca="1" si="13"/>
        <v>10.336482903428459</v>
      </c>
      <c r="S152" s="35">
        <f t="shared" ca="1" si="14"/>
        <v>-0.36592235368329551</v>
      </c>
    </row>
    <row r="153" spans="1:19">
      <c r="A153" s="2" t="s">
        <v>209</v>
      </c>
      <c r="B153" s="2" t="s">
        <v>36</v>
      </c>
      <c r="C153" s="25">
        <v>45769</v>
      </c>
      <c r="D153" s="2" t="s">
        <v>43</v>
      </c>
      <c r="E153" s="2">
        <v>4804</v>
      </c>
      <c r="F153" s="2">
        <v>550</v>
      </c>
      <c r="G153" s="2">
        <v>270</v>
      </c>
      <c r="H153" s="3">
        <v>28824</v>
      </c>
      <c r="I153" s="2">
        <v>28370</v>
      </c>
      <c r="J153" s="3">
        <v>47</v>
      </c>
      <c r="K153" s="2" t="s">
        <v>31</v>
      </c>
      <c r="L153" s="2" t="s">
        <v>416</v>
      </c>
      <c r="M153" s="2" t="s">
        <v>416</v>
      </c>
      <c r="N153" s="2" t="s">
        <v>32</v>
      </c>
      <c r="O153" s="12">
        <f t="shared" si="10"/>
        <v>19.511518179295031</v>
      </c>
      <c r="P153" t="str">
        <f t="shared" si="11"/>
        <v>Before</v>
      </c>
      <c r="Q153" s="11">
        <f t="shared" ca="1" si="12"/>
        <v>16.340749927722953</v>
      </c>
      <c r="R153" s="11">
        <f t="shared" ca="1" si="13"/>
        <v>10.336482903428459</v>
      </c>
      <c r="S153" s="35">
        <f t="shared" ca="1" si="14"/>
        <v>-0.36744133842400556</v>
      </c>
    </row>
    <row r="154" spans="1:19">
      <c r="A154" s="2" t="s">
        <v>210</v>
      </c>
      <c r="B154" s="2" t="s">
        <v>14</v>
      </c>
      <c r="C154" s="25">
        <v>45658</v>
      </c>
      <c r="D154" s="2" t="s">
        <v>58</v>
      </c>
      <c r="E154" s="2">
        <v>754</v>
      </c>
      <c r="F154" s="2">
        <v>197</v>
      </c>
      <c r="G154" s="2">
        <v>257</v>
      </c>
      <c r="H154" s="3">
        <v>6786</v>
      </c>
      <c r="I154" s="2">
        <v>6221</v>
      </c>
      <c r="J154" s="3">
        <v>212</v>
      </c>
      <c r="K154" s="2" t="s">
        <v>25</v>
      </c>
      <c r="L154" s="2" t="s">
        <v>416</v>
      </c>
      <c r="M154" s="2" t="s">
        <v>416</v>
      </c>
      <c r="N154" s="2" t="s">
        <v>26</v>
      </c>
      <c r="O154" s="12">
        <f t="shared" si="10"/>
        <v>17.801355732390213</v>
      </c>
      <c r="P154" t="str">
        <f t="shared" si="11"/>
        <v>Before</v>
      </c>
      <c r="Q154" s="11">
        <f t="shared" ca="1" si="12"/>
        <v>16.317262755489086</v>
      </c>
      <c r="R154" s="11">
        <f t="shared" ca="1" si="13"/>
        <v>10.336482903428459</v>
      </c>
      <c r="S154" s="35">
        <f t="shared" ca="1" si="14"/>
        <v>-0.36653082944617704</v>
      </c>
    </row>
    <row r="155" spans="1:19">
      <c r="A155" s="2" t="s">
        <v>211</v>
      </c>
      <c r="B155" s="2" t="s">
        <v>28</v>
      </c>
      <c r="C155" s="25">
        <v>45574</v>
      </c>
      <c r="D155" s="2" t="s">
        <v>38</v>
      </c>
      <c r="E155" s="2">
        <v>985</v>
      </c>
      <c r="F155" s="2">
        <v>932</v>
      </c>
      <c r="G155" s="2">
        <v>287</v>
      </c>
      <c r="H155" s="3">
        <v>6895</v>
      </c>
      <c r="I155" s="2">
        <v>6757</v>
      </c>
      <c r="J155" s="3">
        <v>64</v>
      </c>
      <c r="K155" s="2" t="s">
        <v>50</v>
      </c>
      <c r="L155" s="2" t="s">
        <v>416</v>
      </c>
      <c r="M155" s="2" t="s">
        <v>416</v>
      </c>
      <c r="N155" s="2" t="s">
        <v>32</v>
      </c>
      <c r="O155" s="12">
        <f t="shared" si="10"/>
        <v>31.965192168237856</v>
      </c>
      <c r="P155" t="str">
        <f t="shared" si="11"/>
        <v>Before</v>
      </c>
      <c r="Q155" s="11">
        <f t="shared" ca="1" si="12"/>
        <v>16.306187434765942</v>
      </c>
      <c r="R155" s="11">
        <f t="shared" ca="1" si="13"/>
        <v>10.336482903428459</v>
      </c>
      <c r="S155" s="35">
        <f t="shared" ca="1" si="14"/>
        <v>-0.3661005710390432</v>
      </c>
    </row>
    <row r="156" spans="1:19">
      <c r="A156" s="2" t="s">
        <v>212</v>
      </c>
      <c r="B156" s="2" t="s">
        <v>23</v>
      </c>
      <c r="C156" s="25">
        <v>45647</v>
      </c>
      <c r="D156" s="2" t="s">
        <v>43</v>
      </c>
      <c r="E156" s="2">
        <v>2283</v>
      </c>
      <c r="F156" s="2">
        <v>210</v>
      </c>
      <c r="G156" s="2">
        <v>130</v>
      </c>
      <c r="H156" s="3">
        <v>22830</v>
      </c>
      <c r="I156" s="2">
        <v>22617</v>
      </c>
      <c r="J156" s="3">
        <v>143</v>
      </c>
      <c r="K156" s="2" t="s">
        <v>50</v>
      </c>
      <c r="L156" s="2" t="s">
        <v>416</v>
      </c>
      <c r="M156" s="2" t="s">
        <v>416</v>
      </c>
      <c r="N156" s="2" t="s">
        <v>21</v>
      </c>
      <c r="O156" s="12">
        <f t="shared" si="10"/>
        <v>11.489268506351292</v>
      </c>
      <c r="P156" t="str">
        <f t="shared" si="11"/>
        <v>Before</v>
      </c>
      <c r="Q156" s="11">
        <f t="shared" ca="1" si="12"/>
        <v>16.188450557070663</v>
      </c>
      <c r="R156" s="11">
        <f t="shared" ca="1" si="13"/>
        <v>10.336482903428459</v>
      </c>
      <c r="S156" s="35">
        <f t="shared" ca="1" si="14"/>
        <v>-0.36149028796867949</v>
      </c>
    </row>
    <row r="157" spans="1:19">
      <c r="A157" s="2" t="s">
        <v>213</v>
      </c>
      <c r="B157" s="2" t="s">
        <v>36</v>
      </c>
      <c r="C157" s="25">
        <v>45587</v>
      </c>
      <c r="D157" s="2" t="s">
        <v>38</v>
      </c>
      <c r="E157" s="2">
        <v>3352</v>
      </c>
      <c r="F157" s="2">
        <v>941</v>
      </c>
      <c r="G157" s="2">
        <v>482</v>
      </c>
      <c r="H157" s="3">
        <v>43576</v>
      </c>
      <c r="I157" s="2">
        <v>43338</v>
      </c>
      <c r="J157" s="3">
        <v>240</v>
      </c>
      <c r="K157" s="2" t="s">
        <v>50</v>
      </c>
      <c r="L157" s="2" t="s">
        <v>416</v>
      </c>
      <c r="M157" s="2" t="s">
        <v>416</v>
      </c>
      <c r="N157" s="2" t="s">
        <v>21</v>
      </c>
      <c r="O157" s="12">
        <f t="shared" si="10"/>
        <v>10.957866715623279</v>
      </c>
      <c r="P157" t="str">
        <f t="shared" si="11"/>
        <v>Before</v>
      </c>
      <c r="Q157" s="11">
        <f t="shared" ca="1" si="12"/>
        <v>16.22405042109126</v>
      </c>
      <c r="R157" s="11">
        <f t="shared" ca="1" si="13"/>
        <v>10.336482903428459</v>
      </c>
      <c r="S157" s="35">
        <f t="shared" ca="1" si="14"/>
        <v>-0.36289134740415774</v>
      </c>
    </row>
    <row r="158" spans="1:19">
      <c r="A158" s="2" t="s">
        <v>214</v>
      </c>
      <c r="B158" s="2" t="s">
        <v>23</v>
      </c>
      <c r="C158" s="25">
        <v>45496</v>
      </c>
      <c r="D158" s="2" t="s">
        <v>29</v>
      </c>
      <c r="E158" s="2">
        <v>4775</v>
      </c>
      <c r="F158" s="2">
        <v>173</v>
      </c>
      <c r="G158" s="2">
        <v>206</v>
      </c>
      <c r="H158" s="3">
        <v>47750</v>
      </c>
      <c r="I158" s="2">
        <v>47544</v>
      </c>
      <c r="J158" s="3">
        <v>187</v>
      </c>
      <c r="K158" s="2" t="s">
        <v>50</v>
      </c>
      <c r="L158" s="2" t="s">
        <v>416</v>
      </c>
      <c r="M158" s="2" t="s">
        <v>416</v>
      </c>
      <c r="N158" s="2" t="s">
        <v>21</v>
      </c>
      <c r="O158" s="12">
        <f t="shared" si="10"/>
        <v>10.793717277486911</v>
      </c>
      <c r="P158" t="str">
        <f t="shared" si="11"/>
        <v>Before</v>
      </c>
      <c r="Q158" s="11">
        <f t="shared" ca="1" si="12"/>
        <v>16.264250296705519</v>
      </c>
      <c r="R158" s="11">
        <f t="shared" ca="1" si="13"/>
        <v>10.336482903428459</v>
      </c>
      <c r="S158" s="35">
        <f t="shared" ca="1" si="14"/>
        <v>-0.36446607037754369</v>
      </c>
    </row>
    <row r="159" spans="1:19">
      <c r="A159" s="2" t="s">
        <v>215</v>
      </c>
      <c r="B159" s="2" t="s">
        <v>28</v>
      </c>
      <c r="C159" s="25">
        <v>45515</v>
      </c>
      <c r="D159" s="2" t="s">
        <v>29</v>
      </c>
      <c r="E159" s="2">
        <v>1762</v>
      </c>
      <c r="F159" s="2">
        <v>405</v>
      </c>
      <c r="G159" s="2">
        <v>423</v>
      </c>
      <c r="H159" s="3">
        <v>22906</v>
      </c>
      <c r="I159" s="2">
        <v>21925</v>
      </c>
      <c r="J159" s="3">
        <v>25</v>
      </c>
      <c r="K159" s="2" t="s">
        <v>25</v>
      </c>
      <c r="L159" s="2" t="s">
        <v>416</v>
      </c>
      <c r="M159" s="2" t="s">
        <v>416</v>
      </c>
      <c r="N159" s="2" t="s">
        <v>17</v>
      </c>
      <c r="O159" s="12">
        <f t="shared" si="10"/>
        <v>11.307081114118571</v>
      </c>
      <c r="P159" t="str">
        <f t="shared" si="11"/>
        <v>Before</v>
      </c>
      <c r="Q159" s="11">
        <f t="shared" ca="1" si="12"/>
        <v>16.306331319930283</v>
      </c>
      <c r="R159" s="11">
        <f t="shared" ca="1" si="13"/>
        <v>10.336482903428459</v>
      </c>
      <c r="S159" s="35">
        <f t="shared" ca="1" si="14"/>
        <v>-0.36610616449361755</v>
      </c>
    </row>
    <row r="160" spans="1:19">
      <c r="A160" s="2" t="s">
        <v>216</v>
      </c>
      <c r="B160" s="2" t="s">
        <v>36</v>
      </c>
      <c r="C160" s="25">
        <v>45621</v>
      </c>
      <c r="D160" s="2" t="s">
        <v>29</v>
      </c>
      <c r="E160" s="2">
        <v>2120</v>
      </c>
      <c r="F160" s="2">
        <v>158</v>
      </c>
      <c r="G160" s="2">
        <v>488</v>
      </c>
      <c r="H160" s="3">
        <v>12720</v>
      </c>
      <c r="I160" s="2">
        <v>12085</v>
      </c>
      <c r="J160" s="3">
        <v>17</v>
      </c>
      <c r="K160" s="2" t="s">
        <v>50</v>
      </c>
      <c r="L160" s="2" t="s">
        <v>416</v>
      </c>
      <c r="M160" s="2" t="s">
        <v>416</v>
      </c>
      <c r="N160" s="2" t="s">
        <v>21</v>
      </c>
      <c r="O160" s="12">
        <f t="shared" si="10"/>
        <v>21.745283018867926</v>
      </c>
      <c r="P160" t="str">
        <f t="shared" si="11"/>
        <v>Before</v>
      </c>
      <c r="Q160" s="11">
        <f t="shared" ca="1" si="12"/>
        <v>16.345085197494711</v>
      </c>
      <c r="R160" s="11">
        <f t="shared" ca="1" si="13"/>
        <v>10.336482903428459</v>
      </c>
      <c r="S160" s="35">
        <f t="shared" ca="1" si="14"/>
        <v>-0.367609114389151</v>
      </c>
    </row>
    <row r="161" spans="1:19">
      <c r="A161" s="2" t="s">
        <v>217</v>
      </c>
      <c r="B161" s="2" t="s">
        <v>14</v>
      </c>
      <c r="C161" s="25">
        <v>45528</v>
      </c>
      <c r="D161" s="2" t="s">
        <v>58</v>
      </c>
      <c r="E161" s="2">
        <v>1082</v>
      </c>
      <c r="F161" s="2">
        <v>209</v>
      </c>
      <c r="G161" s="2">
        <v>484</v>
      </c>
      <c r="H161" s="3">
        <v>19476</v>
      </c>
      <c r="I161" s="2">
        <v>18654</v>
      </c>
      <c r="J161" s="3">
        <v>20</v>
      </c>
      <c r="K161" s="2" t="s">
        <v>25</v>
      </c>
      <c r="L161" s="2" t="s">
        <v>416</v>
      </c>
      <c r="M161" s="2" t="s">
        <v>416</v>
      </c>
      <c r="O161" s="12">
        <f t="shared" si="10"/>
        <v>9.1137810638734855</v>
      </c>
      <c r="P161" t="str">
        <f t="shared" si="11"/>
        <v>Before</v>
      </c>
      <c r="Q161" s="11">
        <f t="shared" ca="1" si="12"/>
        <v>16.302896152015236</v>
      </c>
      <c r="R161" s="11">
        <f t="shared" ca="1" si="13"/>
        <v>10.336482903428459</v>
      </c>
      <c r="S161" s="35">
        <f t="shared" ca="1" si="14"/>
        <v>-0.36597259731972565</v>
      </c>
    </row>
    <row r="162" spans="1:19">
      <c r="A162" s="2" t="s">
        <v>218</v>
      </c>
      <c r="B162" s="2" t="s">
        <v>14</v>
      </c>
      <c r="C162" s="25">
        <v>45707</v>
      </c>
      <c r="D162" s="2" t="s">
        <v>19</v>
      </c>
      <c r="E162" s="2">
        <v>4671</v>
      </c>
      <c r="F162" s="2">
        <v>876</v>
      </c>
      <c r="G162" s="2">
        <v>366</v>
      </c>
      <c r="H162" s="3">
        <v>51381</v>
      </c>
      <c r="I162" s="2">
        <v>50565</v>
      </c>
      <c r="J162" s="3">
        <v>245</v>
      </c>
      <c r="K162" s="2" t="s">
        <v>25</v>
      </c>
      <c r="L162" s="2" t="s">
        <v>416</v>
      </c>
      <c r="M162" s="2" t="s">
        <v>416</v>
      </c>
      <c r="N162" s="2" t="s">
        <v>32</v>
      </c>
      <c r="O162" s="12">
        <f t="shared" si="10"/>
        <v>11.508145034156595</v>
      </c>
      <c r="P162" t="str">
        <f t="shared" si="11"/>
        <v>Before</v>
      </c>
      <c r="Q162" s="11">
        <f t="shared" ca="1" si="12"/>
        <v>16.359503357433677</v>
      </c>
      <c r="R162" s="11">
        <f t="shared" ca="1" si="13"/>
        <v>10.336482903428459</v>
      </c>
      <c r="S162" s="35">
        <f t="shared" ca="1" si="14"/>
        <v>-0.3681664609499522</v>
      </c>
    </row>
    <row r="163" spans="1:19">
      <c r="A163" s="2" t="s">
        <v>219</v>
      </c>
      <c r="B163" s="2" t="s">
        <v>36</v>
      </c>
      <c r="C163" s="25">
        <v>45748</v>
      </c>
      <c r="D163" s="2" t="s">
        <v>29</v>
      </c>
      <c r="E163" s="2">
        <v>3430</v>
      </c>
      <c r="F163" s="2">
        <v>566</v>
      </c>
      <c r="G163" s="2">
        <v>164</v>
      </c>
      <c r="H163" s="3">
        <v>48020</v>
      </c>
      <c r="I163" s="2">
        <v>47305</v>
      </c>
      <c r="J163" s="3">
        <v>120</v>
      </c>
      <c r="K163" s="2" t="s">
        <v>50</v>
      </c>
      <c r="L163" s="2" t="s">
        <v>416</v>
      </c>
      <c r="M163" s="2" t="s">
        <v>416</v>
      </c>
      <c r="O163" s="12">
        <f t="shared" si="10"/>
        <v>8.6630570595585166</v>
      </c>
      <c r="P163" t="str">
        <f t="shared" si="11"/>
        <v>Before</v>
      </c>
      <c r="Q163" s="11">
        <f t="shared" ca="1" si="12"/>
        <v>16.398006201269212</v>
      </c>
      <c r="R163" s="11">
        <f t="shared" ca="1" si="13"/>
        <v>10.336482903428459</v>
      </c>
      <c r="S163" s="35">
        <f t="shared" ca="1" si="14"/>
        <v>-0.36965001863284991</v>
      </c>
    </row>
    <row r="164" spans="1:19">
      <c r="A164" s="2" t="s">
        <v>220</v>
      </c>
      <c r="B164" s="2" t="s">
        <v>28</v>
      </c>
      <c r="C164" s="25">
        <v>45755</v>
      </c>
      <c r="D164" s="2" t="s">
        <v>43</v>
      </c>
      <c r="E164" s="2">
        <v>4501</v>
      </c>
      <c r="F164" s="2">
        <v>375</v>
      </c>
      <c r="G164" s="2">
        <v>323</v>
      </c>
      <c r="H164" s="3">
        <v>22505</v>
      </c>
      <c r="I164" s="2">
        <v>21836</v>
      </c>
      <c r="J164" s="3">
        <v>132</v>
      </c>
      <c r="K164" s="2" t="s">
        <v>25</v>
      </c>
      <c r="L164" s="2" t="s">
        <v>416</v>
      </c>
      <c r="M164" s="2" t="s">
        <v>416</v>
      </c>
      <c r="N164" s="2" t="s">
        <v>21</v>
      </c>
      <c r="O164" s="12">
        <f t="shared" si="10"/>
        <v>23.101532992668297</v>
      </c>
      <c r="P164" t="str">
        <f t="shared" si="11"/>
        <v>Before</v>
      </c>
      <c r="Q164" s="11">
        <f t="shared" ca="1" si="12"/>
        <v>16.459885794402897</v>
      </c>
      <c r="R164" s="11">
        <f t="shared" ca="1" si="13"/>
        <v>10.336482903428459</v>
      </c>
      <c r="S164" s="35">
        <f t="shared" ca="1" si="14"/>
        <v>-0.37201976778336282</v>
      </c>
    </row>
    <row r="165" spans="1:19">
      <c r="A165" s="2" t="s">
        <v>221</v>
      </c>
      <c r="B165" s="2" t="s">
        <v>23</v>
      </c>
      <c r="C165" s="25">
        <v>45715</v>
      </c>
      <c r="D165" s="2" t="s">
        <v>19</v>
      </c>
      <c r="E165" s="2">
        <v>4934</v>
      </c>
      <c r="F165" s="2">
        <v>971</v>
      </c>
      <c r="G165" s="2">
        <v>156</v>
      </c>
      <c r="H165" s="3">
        <v>39472</v>
      </c>
      <c r="I165" s="2">
        <v>39025</v>
      </c>
      <c r="J165" s="3">
        <v>169</v>
      </c>
      <c r="K165" s="2" t="s">
        <v>25</v>
      </c>
      <c r="L165" s="2" t="s">
        <v>386</v>
      </c>
      <c r="M165" s="2" t="s">
        <v>416</v>
      </c>
      <c r="N165" s="2" t="s">
        <v>32</v>
      </c>
      <c r="O165" s="12">
        <f t="shared" si="10"/>
        <v>15.355188488042156</v>
      </c>
      <c r="P165" t="str">
        <f t="shared" si="11"/>
        <v>Before</v>
      </c>
      <c r="Q165" s="11">
        <f t="shared" ca="1" si="12"/>
        <v>16.406324123449139</v>
      </c>
      <c r="R165" s="11">
        <f t="shared" ca="1" si="13"/>
        <v>10.336482903428459</v>
      </c>
      <c r="S165" s="35">
        <f t="shared" ca="1" si="14"/>
        <v>-0.36996960284023711</v>
      </c>
    </row>
    <row r="166" spans="1:19">
      <c r="A166" s="2" t="s">
        <v>222</v>
      </c>
      <c r="B166" s="2" t="s">
        <v>14</v>
      </c>
      <c r="C166" s="25">
        <v>45637</v>
      </c>
      <c r="D166" s="2" t="s">
        <v>19</v>
      </c>
      <c r="E166" s="2">
        <v>3239</v>
      </c>
      <c r="F166" s="2">
        <v>43</v>
      </c>
      <c r="G166" s="2">
        <v>211</v>
      </c>
      <c r="H166" s="3">
        <v>22673</v>
      </c>
      <c r="I166" s="2">
        <v>22171</v>
      </c>
      <c r="J166" s="3">
        <v>230</v>
      </c>
      <c r="K166" s="2" t="s">
        <v>25</v>
      </c>
      <c r="L166" s="2" t="s">
        <v>416</v>
      </c>
      <c r="M166" s="2" t="s">
        <v>416</v>
      </c>
      <c r="N166" s="2" t="s">
        <v>21</v>
      </c>
      <c r="O166" s="12">
        <f t="shared" si="10"/>
        <v>15.405989502933004</v>
      </c>
      <c r="P166" t="str">
        <f t="shared" si="11"/>
        <v>Before</v>
      </c>
      <c r="Q166" s="11">
        <f t="shared" ca="1" si="12"/>
        <v>16.414869941623181</v>
      </c>
      <c r="R166" s="11">
        <f t="shared" ca="1" si="13"/>
        <v>10.336482903428459</v>
      </c>
      <c r="S166" s="35">
        <f t="shared" ca="1" si="14"/>
        <v>-0.37029760575694587</v>
      </c>
    </row>
    <row r="167" spans="1:19">
      <c r="A167" s="2" t="s">
        <v>223</v>
      </c>
      <c r="B167" s="2" t="s">
        <v>14</v>
      </c>
      <c r="C167" s="25">
        <v>45704</v>
      </c>
      <c r="D167" s="2" t="s">
        <v>15</v>
      </c>
      <c r="E167" s="2">
        <v>1076</v>
      </c>
      <c r="F167" s="2">
        <v>313</v>
      </c>
      <c r="G167" s="2">
        <v>306</v>
      </c>
      <c r="H167" s="3">
        <v>11836</v>
      </c>
      <c r="I167" s="2">
        <v>11596</v>
      </c>
      <c r="J167" s="3">
        <v>104</v>
      </c>
      <c r="K167" s="2" t="s">
        <v>50</v>
      </c>
      <c r="L167" s="2" t="s">
        <v>416</v>
      </c>
      <c r="M167" s="2" t="s">
        <v>416</v>
      </c>
      <c r="N167" s="2" t="s">
        <v>17</v>
      </c>
      <c r="O167" s="12">
        <f t="shared" si="10"/>
        <v>14.320716458262927</v>
      </c>
      <c r="P167" t="str">
        <f t="shared" si="11"/>
        <v>Before</v>
      </c>
      <c r="Q167" s="11">
        <f t="shared" ca="1" si="12"/>
        <v>16.423139453415725</v>
      </c>
      <c r="R167" s="11">
        <f t="shared" ca="1" si="13"/>
        <v>10.336482903428459</v>
      </c>
      <c r="S167" s="35">
        <f t="shared" ca="1" si="14"/>
        <v>-0.37061467859126945</v>
      </c>
    </row>
    <row r="168" spans="1:19">
      <c r="A168" s="2" t="s">
        <v>224</v>
      </c>
      <c r="B168" s="2" t="s">
        <v>28</v>
      </c>
      <c r="C168" s="25">
        <v>45624</v>
      </c>
      <c r="D168" s="2" t="s">
        <v>19</v>
      </c>
      <c r="E168" s="2">
        <v>4771</v>
      </c>
      <c r="F168" s="2">
        <v>818</v>
      </c>
      <c r="G168" s="2">
        <v>56</v>
      </c>
      <c r="H168" s="3">
        <v>57252</v>
      </c>
      <c r="I168" s="2">
        <v>56378</v>
      </c>
      <c r="J168" s="3">
        <v>150</v>
      </c>
      <c r="K168" s="2" t="s">
        <v>50</v>
      </c>
      <c r="L168" s="2" t="s">
        <v>416</v>
      </c>
      <c r="M168" s="2" t="s">
        <v>416</v>
      </c>
      <c r="O168" s="12">
        <f t="shared" si="10"/>
        <v>9.8599175574652413</v>
      </c>
      <c r="P168" t="str">
        <f t="shared" si="11"/>
        <v>Before</v>
      </c>
      <c r="Q168" s="11">
        <f t="shared" ca="1" si="12"/>
        <v>16.440514850069878</v>
      </c>
      <c r="R168" s="11">
        <f t="shared" ca="1" si="13"/>
        <v>10.336482903428459</v>
      </c>
      <c r="S168" s="35">
        <f t="shared" ca="1" si="14"/>
        <v>-0.37127985359992993</v>
      </c>
    </row>
    <row r="169" spans="1:19">
      <c r="A169" s="2" t="s">
        <v>225</v>
      </c>
      <c r="B169" s="2" t="s">
        <v>36</v>
      </c>
      <c r="C169" s="25">
        <v>45608</v>
      </c>
      <c r="D169" s="2" t="s">
        <v>19</v>
      </c>
      <c r="E169" s="2">
        <v>2418</v>
      </c>
      <c r="F169" s="2">
        <v>754</v>
      </c>
      <c r="G169" s="2">
        <v>54</v>
      </c>
      <c r="H169" s="3">
        <v>43524</v>
      </c>
      <c r="I169" s="2">
        <v>42743</v>
      </c>
      <c r="J169" s="3">
        <v>182</v>
      </c>
      <c r="K169" s="2" t="s">
        <v>31</v>
      </c>
      <c r="L169" s="2" t="s">
        <v>416</v>
      </c>
      <c r="M169" s="2" t="s">
        <v>416</v>
      </c>
      <c r="N169" s="2" t="s">
        <v>17</v>
      </c>
      <c r="O169" s="12">
        <f t="shared" si="10"/>
        <v>7.412002573292896</v>
      </c>
      <c r="P169" t="str">
        <f t="shared" si="11"/>
        <v>Before</v>
      </c>
      <c r="Q169" s="11">
        <f t="shared" ca="1" si="12"/>
        <v>16.495353160841582</v>
      </c>
      <c r="R169" s="11">
        <f t="shared" ca="1" si="13"/>
        <v>10.336482903428459</v>
      </c>
      <c r="S169" s="35">
        <f t="shared" ca="1" si="14"/>
        <v>-0.37337001501936323</v>
      </c>
    </row>
    <row r="170" spans="1:19">
      <c r="A170" s="2" t="s">
        <v>226</v>
      </c>
      <c r="B170" s="2" t="s">
        <v>23</v>
      </c>
      <c r="C170" s="25">
        <v>45629</v>
      </c>
      <c r="D170" s="2" t="s">
        <v>58</v>
      </c>
      <c r="E170" s="2">
        <v>3809</v>
      </c>
      <c r="F170" s="2">
        <v>273</v>
      </c>
      <c r="G170" s="2">
        <v>200</v>
      </c>
      <c r="H170" s="3">
        <v>34281</v>
      </c>
      <c r="I170" s="2">
        <v>33534</v>
      </c>
      <c r="J170" s="3">
        <v>83</v>
      </c>
      <c r="K170" s="2" t="s">
        <v>31</v>
      </c>
      <c r="L170" s="2" t="s">
        <v>416</v>
      </c>
      <c r="M170" s="2" t="s">
        <v>416</v>
      </c>
      <c r="N170" s="2" t="s">
        <v>17</v>
      </c>
      <c r="O170" s="12">
        <f t="shared" si="10"/>
        <v>12.490884163239112</v>
      </c>
      <c r="P170" t="str">
        <f t="shared" si="11"/>
        <v>Before</v>
      </c>
      <c r="Q170" s="11">
        <f t="shared" ca="1" si="12"/>
        <v>16.571683838047875</v>
      </c>
      <c r="R170" s="11">
        <f t="shared" ca="1" si="13"/>
        <v>10.336482903428459</v>
      </c>
      <c r="S170" s="35">
        <f t="shared" ca="1" si="14"/>
        <v>-0.37625632950489085</v>
      </c>
    </row>
    <row r="171" spans="1:19">
      <c r="A171" s="2" t="s">
        <v>227</v>
      </c>
      <c r="B171" s="2" t="s">
        <v>14</v>
      </c>
      <c r="C171" s="25">
        <v>45775</v>
      </c>
      <c r="D171" s="2" t="s">
        <v>19</v>
      </c>
      <c r="E171" s="2">
        <v>3577</v>
      </c>
      <c r="F171" s="2">
        <v>596</v>
      </c>
      <c r="G171" s="2">
        <v>493</v>
      </c>
      <c r="H171" s="3">
        <v>67963</v>
      </c>
      <c r="I171" s="2">
        <v>67839</v>
      </c>
      <c r="J171" s="3">
        <v>53</v>
      </c>
      <c r="K171" s="2" t="s">
        <v>25</v>
      </c>
      <c r="L171" s="2" t="s">
        <v>416</v>
      </c>
      <c r="M171" s="2" t="s">
        <v>416</v>
      </c>
      <c r="N171" s="2" t="s">
        <v>26</v>
      </c>
      <c r="O171" s="12">
        <f t="shared" si="10"/>
        <v>6.8655003457763781</v>
      </c>
      <c r="P171" t="str">
        <f t="shared" si="11"/>
        <v>Before</v>
      </c>
      <c r="Q171" s="11">
        <f t="shared" ca="1" si="12"/>
        <v>16.606266886139476</v>
      </c>
      <c r="R171" s="11">
        <f t="shared" ca="1" si="13"/>
        <v>10.336482903428459</v>
      </c>
      <c r="S171" s="35">
        <f t="shared" ca="1" si="14"/>
        <v>-0.37755529437769852</v>
      </c>
    </row>
    <row r="172" spans="1:19">
      <c r="A172" s="2" t="s">
        <v>228</v>
      </c>
      <c r="B172" s="2" t="s">
        <v>23</v>
      </c>
      <c r="C172" s="25">
        <v>45657</v>
      </c>
      <c r="D172" s="2" t="s">
        <v>58</v>
      </c>
      <c r="E172" s="2">
        <v>1018</v>
      </c>
      <c r="F172" s="2">
        <v>447</v>
      </c>
      <c r="G172" s="2">
        <v>332</v>
      </c>
      <c r="H172" s="3">
        <v>18324</v>
      </c>
      <c r="I172" s="2">
        <v>18164</v>
      </c>
      <c r="J172" s="3">
        <v>38</v>
      </c>
      <c r="K172" s="2" t="s">
        <v>50</v>
      </c>
      <c r="L172" s="2" t="s">
        <v>416</v>
      </c>
      <c r="M172" s="2" t="s">
        <v>416</v>
      </c>
      <c r="N172" s="2" t="s">
        <v>21</v>
      </c>
      <c r="O172" s="12">
        <f t="shared" si="10"/>
        <v>9.8068107400130966</v>
      </c>
      <c r="P172" t="str">
        <f t="shared" si="11"/>
        <v>Before</v>
      </c>
      <c r="Q172" s="11">
        <f t="shared" ca="1" si="12"/>
        <v>16.689521301014373</v>
      </c>
      <c r="R172" s="11">
        <f t="shared" ca="1" si="13"/>
        <v>10.336482903428459</v>
      </c>
      <c r="S172" s="35">
        <f t="shared" ca="1" si="14"/>
        <v>-0.38066031271968132</v>
      </c>
    </row>
    <row r="173" spans="1:19">
      <c r="A173" s="2" t="s">
        <v>229</v>
      </c>
      <c r="B173" s="2" t="s">
        <v>36</v>
      </c>
      <c r="C173" s="25">
        <v>45518</v>
      </c>
      <c r="D173" s="2" t="s">
        <v>38</v>
      </c>
      <c r="E173" s="2">
        <v>3073</v>
      </c>
      <c r="F173" s="2">
        <v>553</v>
      </c>
      <c r="G173" s="2">
        <v>174</v>
      </c>
      <c r="H173" s="3">
        <v>52241</v>
      </c>
      <c r="I173" s="2">
        <v>51605</v>
      </c>
      <c r="J173" s="3">
        <v>246</v>
      </c>
      <c r="K173" s="2" t="s">
        <v>31</v>
      </c>
      <c r="L173" s="2" t="s">
        <v>416</v>
      </c>
      <c r="M173" s="2" t="s">
        <v>416</v>
      </c>
      <c r="N173" s="2" t="s">
        <v>26</v>
      </c>
      <c r="O173" s="12">
        <f t="shared" si="10"/>
        <v>7.2739802071170159</v>
      </c>
      <c r="P173" t="str">
        <f t="shared" si="11"/>
        <v>Before</v>
      </c>
      <c r="Q173" s="11">
        <f t="shared" ca="1" si="12"/>
        <v>16.748855012747143</v>
      </c>
      <c r="R173" s="11">
        <f t="shared" ca="1" si="13"/>
        <v>10.336482903428459</v>
      </c>
      <c r="S173" s="35">
        <f t="shared" ca="1" si="14"/>
        <v>-0.38285435657771139</v>
      </c>
    </row>
    <row r="174" spans="1:19">
      <c r="A174" s="2" t="s">
        <v>230</v>
      </c>
      <c r="B174" s="2" t="s">
        <v>14</v>
      </c>
      <c r="C174" s="25">
        <v>45631</v>
      </c>
      <c r="D174" s="2" t="s">
        <v>58</v>
      </c>
      <c r="E174" s="2">
        <v>1330</v>
      </c>
      <c r="F174" s="2">
        <v>925</v>
      </c>
      <c r="G174" s="2">
        <v>35</v>
      </c>
      <c r="H174" s="3">
        <v>15960</v>
      </c>
      <c r="I174" s="2">
        <v>15379</v>
      </c>
      <c r="J174" s="3">
        <v>229</v>
      </c>
      <c r="K174" s="2" t="s">
        <v>50</v>
      </c>
      <c r="L174" s="2" t="s">
        <v>416</v>
      </c>
      <c r="M174" s="2" t="s">
        <v>416</v>
      </c>
      <c r="N174" s="2" t="s">
        <v>26</v>
      </c>
      <c r="O174" s="12">
        <f t="shared" si="10"/>
        <v>14.348370927318296</v>
      </c>
      <c r="P174" t="str">
        <f t="shared" si="11"/>
        <v>Before</v>
      </c>
      <c r="Q174" s="11">
        <f t="shared" ca="1" si="12"/>
        <v>16.831245228448278</v>
      </c>
      <c r="R174" s="11">
        <f t="shared" ca="1" si="13"/>
        <v>10.336482903428459</v>
      </c>
      <c r="S174" s="35">
        <f t="shared" ca="1" si="14"/>
        <v>-0.38587533108021799</v>
      </c>
    </row>
    <row r="175" spans="1:19">
      <c r="A175" s="2" t="s">
        <v>231</v>
      </c>
      <c r="B175" s="2" t="s">
        <v>36</v>
      </c>
      <c r="C175" s="25">
        <v>45465</v>
      </c>
      <c r="D175" s="2" t="s">
        <v>19</v>
      </c>
      <c r="E175" s="2">
        <v>3828</v>
      </c>
      <c r="F175" s="2">
        <v>148</v>
      </c>
      <c r="G175" s="2">
        <v>253</v>
      </c>
      <c r="H175" s="3">
        <v>30624</v>
      </c>
      <c r="I175" s="2">
        <v>30229</v>
      </c>
      <c r="J175" s="3">
        <v>235</v>
      </c>
      <c r="K175" s="2" t="s">
        <v>31</v>
      </c>
      <c r="L175" s="2" t="s">
        <v>416</v>
      </c>
      <c r="M175" s="2" t="s">
        <v>416</v>
      </c>
      <c r="O175" s="12">
        <f t="shared" si="10"/>
        <v>13.809430512016718</v>
      </c>
      <c r="P175" t="str">
        <f t="shared" si="11"/>
        <v>During</v>
      </c>
      <c r="Q175" s="11">
        <f t="shared" ca="1" si="12"/>
        <v>16.853024827580992</v>
      </c>
      <c r="R175" s="11">
        <f t="shared" ca="1" si="13"/>
        <v>10.336482903428459</v>
      </c>
      <c r="S175" s="35">
        <f t="shared" ca="1" si="14"/>
        <v>-0.38666898024666874</v>
      </c>
    </row>
    <row r="176" spans="1:19">
      <c r="A176" s="2" t="s">
        <v>232</v>
      </c>
      <c r="B176" s="2" t="s">
        <v>28</v>
      </c>
      <c r="C176" s="25">
        <v>45674</v>
      </c>
      <c r="D176" s="2" t="s">
        <v>15</v>
      </c>
      <c r="E176" s="2">
        <v>142</v>
      </c>
      <c r="F176" s="2">
        <v>784</v>
      </c>
      <c r="G176" s="2">
        <v>183</v>
      </c>
      <c r="H176" s="3">
        <v>1704</v>
      </c>
      <c r="I176" s="2">
        <v>995</v>
      </c>
      <c r="J176" s="3">
        <v>154</v>
      </c>
      <c r="K176" s="2" t="s">
        <v>50</v>
      </c>
      <c r="L176" s="2" t="s">
        <v>416</v>
      </c>
      <c r="M176" s="2" t="s">
        <v>416</v>
      </c>
      <c r="N176" s="2" t="s">
        <v>32</v>
      </c>
      <c r="O176" s="12">
        <f t="shared" si="10"/>
        <v>65.082159624413151</v>
      </c>
      <c r="P176" t="str">
        <f t="shared" si="11"/>
        <v>Before</v>
      </c>
      <c r="Q176" s="11">
        <f t="shared" ca="1" si="12"/>
        <v>16.853024827580992</v>
      </c>
      <c r="R176" s="11">
        <f t="shared" ca="1" si="13"/>
        <v>10.047070602712772</v>
      </c>
      <c r="S176" s="35">
        <f t="shared" ca="1" si="14"/>
        <v>-0.40384170168252914</v>
      </c>
    </row>
    <row r="177" spans="1:19">
      <c r="A177" s="2" t="s">
        <v>233</v>
      </c>
      <c r="B177" s="2" t="s">
        <v>36</v>
      </c>
      <c r="C177" s="25">
        <v>45463</v>
      </c>
      <c r="D177" s="2" t="s">
        <v>58</v>
      </c>
      <c r="E177" s="2">
        <v>3798</v>
      </c>
      <c r="F177" s="2">
        <v>31</v>
      </c>
      <c r="G177" s="2">
        <v>279</v>
      </c>
      <c r="H177" s="3">
        <v>75960</v>
      </c>
      <c r="I177" s="2">
        <v>75813</v>
      </c>
      <c r="J177" s="3">
        <v>266</v>
      </c>
      <c r="K177" s="2" t="s">
        <v>25</v>
      </c>
      <c r="L177" s="2" t="s">
        <v>416</v>
      </c>
      <c r="M177" s="2" t="s">
        <v>416</v>
      </c>
      <c r="N177" s="2" t="s">
        <v>17</v>
      </c>
      <c r="O177" s="12">
        <f t="shared" si="10"/>
        <v>5.40810953133228</v>
      </c>
      <c r="P177" t="str">
        <f t="shared" si="11"/>
        <v>During</v>
      </c>
      <c r="Q177" s="11">
        <f t="shared" ca="1" si="12"/>
        <v>16.426218324954156</v>
      </c>
      <c r="R177" s="11">
        <f t="shared" ca="1" si="13"/>
        <v>10.047070602712772</v>
      </c>
      <c r="S177" s="35">
        <f t="shared" ca="1" si="14"/>
        <v>-0.3883515728358729</v>
      </c>
    </row>
    <row r="178" spans="1:19">
      <c r="A178" s="2" t="s">
        <v>234</v>
      </c>
      <c r="B178" s="2" t="s">
        <v>28</v>
      </c>
      <c r="C178" s="25">
        <v>45483</v>
      </c>
      <c r="D178" s="2" t="s">
        <v>38</v>
      </c>
      <c r="E178" s="2">
        <v>3099</v>
      </c>
      <c r="F178" s="2">
        <v>694</v>
      </c>
      <c r="G178" s="2">
        <v>171</v>
      </c>
      <c r="H178" s="3">
        <v>43386</v>
      </c>
      <c r="I178" s="2">
        <v>42921</v>
      </c>
      <c r="J178" s="3">
        <v>52</v>
      </c>
      <c r="K178" s="2" t="s">
        <v>25</v>
      </c>
      <c r="L178" s="2" t="s">
        <v>416</v>
      </c>
      <c r="M178" s="2" t="s">
        <v>416</v>
      </c>
      <c r="N178" s="2" t="s">
        <v>26</v>
      </c>
      <c r="O178" s="12">
        <f t="shared" si="10"/>
        <v>9.1365878393951974</v>
      </c>
      <c r="P178" t="str">
        <f t="shared" si="11"/>
        <v>During</v>
      </c>
      <c r="Q178" s="11">
        <f t="shared" ca="1" si="12"/>
        <v>16.426218324954156</v>
      </c>
      <c r="R178" s="11">
        <f t="shared" ca="1" si="13"/>
        <v>10.468794336474634</v>
      </c>
      <c r="S178" s="35">
        <f t="shared" ca="1" si="14"/>
        <v>-0.36267775519756762</v>
      </c>
    </row>
    <row r="179" spans="1:19">
      <c r="A179" s="2" t="s">
        <v>235</v>
      </c>
      <c r="B179" s="2" t="s">
        <v>28</v>
      </c>
      <c r="C179" s="25">
        <v>45603</v>
      </c>
      <c r="D179" s="2" t="s">
        <v>58</v>
      </c>
      <c r="E179" s="2">
        <v>129</v>
      </c>
      <c r="F179" s="2">
        <v>643</v>
      </c>
      <c r="G179" s="2">
        <v>136</v>
      </c>
      <c r="H179" s="3">
        <v>1290</v>
      </c>
      <c r="I179" s="2">
        <v>839</v>
      </c>
      <c r="J179" s="3">
        <v>238</v>
      </c>
      <c r="K179" s="2" t="s">
        <v>25</v>
      </c>
      <c r="L179" s="2" t="s">
        <v>416</v>
      </c>
      <c r="M179" s="2" t="s">
        <v>416</v>
      </c>
      <c r="N179" s="2" t="s">
        <v>32</v>
      </c>
      <c r="O179" s="12">
        <f t="shared" si="10"/>
        <v>70.387596899224803</v>
      </c>
      <c r="P179" t="str">
        <f t="shared" si="11"/>
        <v>Before</v>
      </c>
      <c r="Q179" s="11">
        <f t="shared" ca="1" si="12"/>
        <v>16.426218324954156</v>
      </c>
      <c r="R179" s="11">
        <f t="shared" ca="1" si="13"/>
        <v>10.602014986182578</v>
      </c>
      <c r="S179" s="35">
        <f t="shared" ca="1" si="14"/>
        <v>-0.35456751052210511</v>
      </c>
    </row>
    <row r="180" spans="1:19">
      <c r="A180" s="2" t="s">
        <v>236</v>
      </c>
      <c r="B180" s="2" t="s">
        <v>36</v>
      </c>
      <c r="C180" s="25">
        <v>45488</v>
      </c>
      <c r="D180" s="2" t="s">
        <v>38</v>
      </c>
      <c r="E180" s="2">
        <v>3796</v>
      </c>
      <c r="F180" s="2">
        <v>667</v>
      </c>
      <c r="G180" s="2">
        <v>395</v>
      </c>
      <c r="H180" s="3">
        <v>64532</v>
      </c>
      <c r="I180" s="2">
        <v>63550</v>
      </c>
      <c r="J180" s="3">
        <v>292</v>
      </c>
      <c r="K180" s="2" t="s">
        <v>25</v>
      </c>
      <c r="L180" s="2" t="s">
        <v>416</v>
      </c>
      <c r="M180" s="2" t="s">
        <v>416</v>
      </c>
      <c r="O180" s="12">
        <f t="shared" si="10"/>
        <v>7.5280481001673589</v>
      </c>
      <c r="P180" t="str">
        <f t="shared" si="11"/>
        <v>During</v>
      </c>
      <c r="Q180" s="11">
        <f t="shared" ca="1" si="12"/>
        <v>15.944420301969595</v>
      </c>
      <c r="R180" s="11">
        <f t="shared" ca="1" si="13"/>
        <v>10.602014986182578</v>
      </c>
      <c r="S180" s="35">
        <f t="shared" ca="1" si="14"/>
        <v>-0.33506425537007928</v>
      </c>
    </row>
    <row r="181" spans="1:19">
      <c r="A181" s="2" t="s">
        <v>237</v>
      </c>
      <c r="B181" s="2" t="s">
        <v>23</v>
      </c>
      <c r="C181" s="25">
        <v>45629</v>
      </c>
      <c r="D181" s="2" t="s">
        <v>19</v>
      </c>
      <c r="E181" s="2">
        <v>3711</v>
      </c>
      <c r="F181" s="2">
        <v>352</v>
      </c>
      <c r="G181" s="2">
        <v>290</v>
      </c>
      <c r="H181" s="3">
        <v>48243</v>
      </c>
      <c r="I181" s="2">
        <v>47579</v>
      </c>
      <c r="J181" s="3">
        <v>11</v>
      </c>
      <c r="K181" s="2" t="s">
        <v>25</v>
      </c>
      <c r="L181" s="2" t="s">
        <v>416</v>
      </c>
      <c r="M181" s="2" t="s">
        <v>416</v>
      </c>
      <c r="N181" s="2" t="s">
        <v>17</v>
      </c>
      <c r="O181" s="12">
        <f t="shared" si="10"/>
        <v>9.0230707045581742</v>
      </c>
      <c r="P181" t="str">
        <f t="shared" si="11"/>
        <v>Before</v>
      </c>
      <c r="Q181" s="11">
        <f t="shared" ca="1" si="12"/>
        <v>15.944420301969595</v>
      </c>
      <c r="R181" s="11">
        <f t="shared" ca="1" si="13"/>
        <v>10.94356686240649</v>
      </c>
      <c r="S181" s="35">
        <f t="shared" ca="1" si="14"/>
        <v>-0.31364285090661814</v>
      </c>
    </row>
    <row r="182" spans="1:19">
      <c r="A182" s="2" t="s">
        <v>238</v>
      </c>
      <c r="B182" s="2" t="s">
        <v>23</v>
      </c>
      <c r="C182" s="25">
        <v>45737</v>
      </c>
      <c r="D182" s="2" t="s">
        <v>43</v>
      </c>
      <c r="E182" s="2">
        <v>606</v>
      </c>
      <c r="F182" s="2">
        <v>789</v>
      </c>
      <c r="G182" s="2">
        <v>470</v>
      </c>
      <c r="H182" s="3">
        <v>7878</v>
      </c>
      <c r="I182" s="2">
        <v>7389</v>
      </c>
      <c r="J182" s="3">
        <v>239</v>
      </c>
      <c r="K182" s="2" t="s">
        <v>31</v>
      </c>
      <c r="L182" s="2" t="s">
        <v>416</v>
      </c>
      <c r="M182" s="2" t="s">
        <v>416</v>
      </c>
      <c r="N182" s="2" t="s">
        <v>26</v>
      </c>
      <c r="O182" s="12">
        <f t="shared" si="10"/>
        <v>23.673521198273672</v>
      </c>
      <c r="P182" t="str">
        <f t="shared" si="11"/>
        <v>Before</v>
      </c>
      <c r="Q182" s="11">
        <f t="shared" ca="1" si="12"/>
        <v>16.006774802847175</v>
      </c>
      <c r="R182" s="11">
        <f t="shared" ca="1" si="13"/>
        <v>10.94356686240649</v>
      </c>
      <c r="S182" s="35">
        <f t="shared" ca="1" si="14"/>
        <v>-0.31631655988188684</v>
      </c>
    </row>
    <row r="183" spans="1:19">
      <c r="A183" s="2" t="s">
        <v>239</v>
      </c>
      <c r="B183" s="2" t="s">
        <v>36</v>
      </c>
      <c r="C183" s="25">
        <v>45504</v>
      </c>
      <c r="D183" s="2" t="s">
        <v>43</v>
      </c>
      <c r="E183" s="2">
        <v>4689</v>
      </c>
      <c r="F183" s="2">
        <v>134</v>
      </c>
      <c r="G183" s="2">
        <v>403</v>
      </c>
      <c r="H183" s="3">
        <v>51579</v>
      </c>
      <c r="I183" s="2">
        <v>50924</v>
      </c>
      <c r="J183" s="3">
        <v>173</v>
      </c>
      <c r="K183" s="2" t="s">
        <v>25</v>
      </c>
      <c r="L183" s="2" t="s">
        <v>416</v>
      </c>
      <c r="M183" s="2" t="s">
        <v>416</v>
      </c>
      <c r="N183" s="2" t="s">
        <v>32</v>
      </c>
      <c r="O183" s="12">
        <f t="shared" si="10"/>
        <v>10.132030477519921</v>
      </c>
      <c r="P183" t="str">
        <f t="shared" si="11"/>
        <v>Before</v>
      </c>
      <c r="Q183" s="11">
        <f t="shared" ca="1" si="12"/>
        <v>15.937077108343297</v>
      </c>
      <c r="R183" s="11">
        <f t="shared" ca="1" si="13"/>
        <v>10.94356686240649</v>
      </c>
      <c r="S183" s="35">
        <f t="shared" ca="1" si="14"/>
        <v>-0.31332660386782157</v>
      </c>
    </row>
    <row r="184" spans="1:19">
      <c r="A184" s="2" t="s">
        <v>240</v>
      </c>
      <c r="B184" s="2" t="s">
        <v>28</v>
      </c>
      <c r="C184" s="25">
        <v>45643</v>
      </c>
      <c r="D184" s="2" t="s">
        <v>29</v>
      </c>
      <c r="E184" s="2">
        <v>360</v>
      </c>
      <c r="F184" s="2">
        <v>590</v>
      </c>
      <c r="G184" s="2">
        <v>393</v>
      </c>
      <c r="H184" s="3">
        <v>4680</v>
      </c>
      <c r="I184" s="2">
        <v>4322</v>
      </c>
      <c r="J184" s="3">
        <v>208</v>
      </c>
      <c r="K184" s="2" t="s">
        <v>50</v>
      </c>
      <c r="L184" s="2" t="s">
        <v>416</v>
      </c>
      <c r="M184" s="2" t="s">
        <v>416</v>
      </c>
      <c r="N184" s="2" t="s">
        <v>21</v>
      </c>
      <c r="O184" s="12">
        <f t="shared" si="10"/>
        <v>28.696581196581196</v>
      </c>
      <c r="P184" t="str">
        <f t="shared" si="11"/>
        <v>Before</v>
      </c>
      <c r="Q184" s="11">
        <f t="shared" ca="1" si="12"/>
        <v>15.990334416882961</v>
      </c>
      <c r="R184" s="11">
        <f t="shared" ca="1" si="13"/>
        <v>10.94356686240649</v>
      </c>
      <c r="S184" s="35">
        <f t="shared" ca="1" si="14"/>
        <v>-0.31561363401805897</v>
      </c>
    </row>
    <row r="185" spans="1:19">
      <c r="A185" s="2" t="s">
        <v>241</v>
      </c>
      <c r="B185" s="2" t="s">
        <v>14</v>
      </c>
      <c r="C185" s="25">
        <v>45501</v>
      </c>
      <c r="D185" s="2" t="s">
        <v>43</v>
      </c>
      <c r="E185" s="2">
        <v>3215</v>
      </c>
      <c r="F185" s="2">
        <v>960</v>
      </c>
      <c r="G185" s="2">
        <v>202</v>
      </c>
      <c r="H185" s="3">
        <v>32150</v>
      </c>
      <c r="I185" s="2">
        <v>31404</v>
      </c>
      <c r="J185" s="3">
        <v>251</v>
      </c>
      <c r="K185" s="2" t="s">
        <v>31</v>
      </c>
      <c r="L185" s="2" t="s">
        <v>416</v>
      </c>
      <c r="M185" s="2" t="s">
        <v>416</v>
      </c>
      <c r="N185" s="2" t="s">
        <v>17</v>
      </c>
      <c r="O185" s="12">
        <f t="shared" si="10"/>
        <v>13.614307931570762</v>
      </c>
      <c r="P185" t="str">
        <f t="shared" si="11"/>
        <v>Before</v>
      </c>
      <c r="Q185" s="11">
        <f t="shared" ca="1" si="12"/>
        <v>15.872683983737605</v>
      </c>
      <c r="R185" s="11">
        <f t="shared" ca="1" si="13"/>
        <v>10.94356686240649</v>
      </c>
      <c r="S185" s="35">
        <f t="shared" ca="1" si="14"/>
        <v>-0.31054087175056555</v>
      </c>
    </row>
    <row r="186" spans="1:19">
      <c r="A186" s="2" t="s">
        <v>242</v>
      </c>
      <c r="B186" s="2" t="s">
        <v>28</v>
      </c>
      <c r="C186" s="25">
        <v>45668</v>
      </c>
      <c r="D186" s="2" t="s">
        <v>38</v>
      </c>
      <c r="E186" s="2">
        <v>4523</v>
      </c>
      <c r="F186" s="2">
        <v>61</v>
      </c>
      <c r="G186" s="2">
        <v>157</v>
      </c>
      <c r="H186" s="3">
        <v>49753</v>
      </c>
      <c r="I186" s="2">
        <v>49329</v>
      </c>
      <c r="J186" s="3">
        <v>71</v>
      </c>
      <c r="K186" s="2" t="s">
        <v>31</v>
      </c>
      <c r="L186" s="2" t="s">
        <v>416</v>
      </c>
      <c r="M186" s="2" t="s">
        <v>416</v>
      </c>
      <c r="O186" s="12">
        <f t="shared" si="10"/>
        <v>9.5290736237010822</v>
      </c>
      <c r="P186" t="str">
        <f t="shared" si="11"/>
        <v>Before</v>
      </c>
      <c r="Q186" s="11">
        <f t="shared" ca="1" si="12"/>
        <v>15.893790301982154</v>
      </c>
      <c r="R186" s="11">
        <f t="shared" ca="1" si="13"/>
        <v>10.94356686240649</v>
      </c>
      <c r="S186" s="35">
        <f t="shared" ca="1" si="14"/>
        <v>-0.31145644591512633</v>
      </c>
    </row>
    <row r="187" spans="1:19">
      <c r="A187" s="2" t="s">
        <v>243</v>
      </c>
      <c r="B187" s="2" t="s">
        <v>36</v>
      </c>
      <c r="C187" s="25">
        <v>45528</v>
      </c>
      <c r="D187" s="2" t="s">
        <v>38</v>
      </c>
      <c r="E187" s="2">
        <v>4292</v>
      </c>
      <c r="F187" s="2">
        <v>51</v>
      </c>
      <c r="G187" s="2">
        <v>392</v>
      </c>
      <c r="H187" s="3">
        <v>55796</v>
      </c>
      <c r="I187" s="2">
        <v>54826</v>
      </c>
      <c r="J187" s="3">
        <v>264</v>
      </c>
      <c r="K187" s="2" t="s">
        <v>31</v>
      </c>
      <c r="L187" s="2" t="s">
        <v>416</v>
      </c>
      <c r="M187" s="2" t="s">
        <v>416</v>
      </c>
      <c r="N187" s="2" t="s">
        <v>26</v>
      </c>
      <c r="O187" s="12">
        <f t="shared" si="10"/>
        <v>8.4862714173059004</v>
      </c>
      <c r="P187" t="str">
        <f t="shared" si="11"/>
        <v>Before</v>
      </c>
      <c r="Q187" s="11">
        <f t="shared" ca="1" si="12"/>
        <v>15.953834798947073</v>
      </c>
      <c r="R187" s="11">
        <f t="shared" ca="1" si="13"/>
        <v>10.94356686240649</v>
      </c>
      <c r="S187" s="35">
        <f t="shared" ca="1" si="14"/>
        <v>-0.31404787624297403</v>
      </c>
    </row>
    <row r="188" spans="1:19">
      <c r="A188" s="2" t="s">
        <v>244</v>
      </c>
      <c r="B188" s="2" t="s">
        <v>14</v>
      </c>
      <c r="C188" s="25">
        <v>45648</v>
      </c>
      <c r="D188" s="2" t="s">
        <v>15</v>
      </c>
      <c r="E188" s="2">
        <v>1644</v>
      </c>
      <c r="F188" s="2">
        <v>546</v>
      </c>
      <c r="G188" s="2">
        <v>150</v>
      </c>
      <c r="H188" s="3">
        <v>27948</v>
      </c>
      <c r="I188" s="2">
        <v>27184</v>
      </c>
      <c r="J188" s="3">
        <v>300</v>
      </c>
      <c r="K188" s="2" t="s">
        <v>31</v>
      </c>
      <c r="L188" s="2" t="s">
        <v>416</v>
      </c>
      <c r="M188" s="2" t="s">
        <v>416</v>
      </c>
      <c r="N188" s="2" t="s">
        <v>26</v>
      </c>
      <c r="O188" s="12">
        <f t="shared" si="10"/>
        <v>8.3726921425504504</v>
      </c>
      <c r="P188" t="str">
        <f t="shared" si="11"/>
        <v>Before</v>
      </c>
      <c r="Q188" s="11">
        <f t="shared" ca="1" si="12"/>
        <v>16.024954450200799</v>
      </c>
      <c r="R188" s="11">
        <f t="shared" ca="1" si="13"/>
        <v>10.94356686240649</v>
      </c>
      <c r="S188" s="35">
        <f t="shared" ca="1" si="14"/>
        <v>-0.3170921704386272</v>
      </c>
    </row>
    <row r="189" spans="1:19">
      <c r="A189" s="2" t="s">
        <v>245</v>
      </c>
      <c r="B189" s="2" t="s">
        <v>23</v>
      </c>
      <c r="C189" s="25">
        <v>45449</v>
      </c>
      <c r="D189" s="2" t="s">
        <v>15</v>
      </c>
      <c r="E189" s="2">
        <v>2728</v>
      </c>
      <c r="F189" s="2">
        <v>533</v>
      </c>
      <c r="G189" s="2">
        <v>215</v>
      </c>
      <c r="H189" s="3">
        <v>40920</v>
      </c>
      <c r="I189" s="2">
        <v>40816</v>
      </c>
      <c r="J189" s="3">
        <v>137</v>
      </c>
      <c r="K189" s="2" t="s">
        <v>50</v>
      </c>
      <c r="L189" s="2" t="s">
        <v>416</v>
      </c>
      <c r="M189" s="2" t="s">
        <v>416</v>
      </c>
      <c r="N189" s="2" t="s">
        <v>21</v>
      </c>
      <c r="O189" s="12">
        <f t="shared" si="10"/>
        <v>8.4946236559139781</v>
      </c>
      <c r="P189" t="str">
        <f t="shared" si="11"/>
        <v>Before</v>
      </c>
      <c r="Q189" s="11">
        <f t="shared" ca="1" si="12"/>
        <v>16.098533895466662</v>
      </c>
      <c r="R189" s="11">
        <f t="shared" ca="1" si="13"/>
        <v>10.94356686240649</v>
      </c>
      <c r="S189" s="35">
        <f t="shared" ca="1" si="14"/>
        <v>-0.32021344717060279</v>
      </c>
    </row>
    <row r="190" spans="1:19">
      <c r="A190" s="2" t="s">
        <v>246</v>
      </c>
      <c r="B190" s="2" t="s">
        <v>36</v>
      </c>
      <c r="C190" s="25">
        <v>45740</v>
      </c>
      <c r="D190" s="2" t="s">
        <v>15</v>
      </c>
      <c r="E190" s="2">
        <v>3360</v>
      </c>
      <c r="F190" s="2">
        <v>525</v>
      </c>
      <c r="G190" s="2">
        <v>500</v>
      </c>
      <c r="H190" s="3">
        <v>60480</v>
      </c>
      <c r="I190" s="2">
        <v>59610</v>
      </c>
      <c r="J190" s="3">
        <v>192</v>
      </c>
      <c r="K190" s="2" t="s">
        <v>25</v>
      </c>
      <c r="L190" s="2" t="s">
        <v>416</v>
      </c>
      <c r="M190" s="2" t="s">
        <v>416</v>
      </c>
      <c r="N190" s="2" t="s">
        <v>17</v>
      </c>
      <c r="O190" s="12">
        <f t="shared" si="10"/>
        <v>7.2503306878306875</v>
      </c>
      <c r="P190" t="str">
        <f t="shared" si="11"/>
        <v>Before</v>
      </c>
      <c r="Q190" s="11">
        <f t="shared" ca="1" si="12"/>
        <v>16.172358266724455</v>
      </c>
      <c r="R190" s="11">
        <f t="shared" ca="1" si="13"/>
        <v>10.94356686240649</v>
      </c>
      <c r="S190" s="35">
        <f t="shared" ca="1" si="14"/>
        <v>-0.32331657004386927</v>
      </c>
    </row>
    <row r="191" spans="1:19">
      <c r="A191" s="2" t="s">
        <v>247</v>
      </c>
      <c r="B191" s="2" t="s">
        <v>23</v>
      </c>
      <c r="C191" s="25">
        <v>45569</v>
      </c>
      <c r="D191" s="2" t="s">
        <v>19</v>
      </c>
      <c r="E191" s="2">
        <v>1963</v>
      </c>
      <c r="F191" s="2">
        <v>213</v>
      </c>
      <c r="G191" s="2">
        <v>19</v>
      </c>
      <c r="H191" s="3">
        <v>39260</v>
      </c>
      <c r="I191" s="2">
        <v>38771</v>
      </c>
      <c r="J191" s="3">
        <v>145</v>
      </c>
      <c r="K191" s="2" t="s">
        <v>50</v>
      </c>
      <c r="L191" s="2" t="s">
        <v>416</v>
      </c>
      <c r="M191" s="2" t="s">
        <v>416</v>
      </c>
      <c r="O191" s="12">
        <f t="shared" si="10"/>
        <v>5.590932246561386</v>
      </c>
      <c r="P191" t="str">
        <f t="shared" si="11"/>
        <v>Before</v>
      </c>
      <c r="Q191" s="11">
        <f t="shared" ca="1" si="12"/>
        <v>16.25982912534106</v>
      </c>
      <c r="R191" s="11">
        <f t="shared" ca="1" si="13"/>
        <v>10.94356686240649</v>
      </c>
      <c r="S191" s="35">
        <f t="shared" ca="1" si="14"/>
        <v>-0.32695683466003572</v>
      </c>
    </row>
    <row r="192" spans="1:19">
      <c r="A192" s="2" t="s">
        <v>248</v>
      </c>
      <c r="B192" s="2" t="s">
        <v>23</v>
      </c>
      <c r="C192" s="25">
        <v>45629</v>
      </c>
      <c r="D192" s="2" t="s">
        <v>29</v>
      </c>
      <c r="E192" s="2">
        <v>4285</v>
      </c>
      <c r="F192" s="2">
        <v>886</v>
      </c>
      <c r="G192" s="2">
        <v>376</v>
      </c>
      <c r="H192" s="3">
        <v>55705</v>
      </c>
      <c r="I192" s="2">
        <v>55556</v>
      </c>
      <c r="J192" s="3">
        <v>51</v>
      </c>
      <c r="K192" s="2" t="s">
        <v>50</v>
      </c>
      <c r="L192" s="2" t="s">
        <v>416</v>
      </c>
      <c r="M192" s="2" t="s">
        <v>416</v>
      </c>
      <c r="N192" s="2" t="s">
        <v>26</v>
      </c>
      <c r="O192" s="12">
        <f t="shared" si="10"/>
        <v>9.9578134817341351</v>
      </c>
      <c r="P192" t="str">
        <f t="shared" si="11"/>
        <v>Before</v>
      </c>
      <c r="Q192" s="11">
        <f t="shared" ca="1" si="12"/>
        <v>16.365461767705217</v>
      </c>
      <c r="R192" s="11">
        <f t="shared" ca="1" si="13"/>
        <v>10.94356686240649</v>
      </c>
      <c r="S192" s="35">
        <f t="shared" ca="1" si="14"/>
        <v>-0.33130106453812519</v>
      </c>
    </row>
    <row r="193" spans="1:19">
      <c r="A193" s="2" t="s">
        <v>249</v>
      </c>
      <c r="B193" s="2" t="s">
        <v>28</v>
      </c>
      <c r="C193" s="25">
        <v>45625</v>
      </c>
      <c r="D193" s="2" t="s">
        <v>58</v>
      </c>
      <c r="E193" s="2">
        <v>1176</v>
      </c>
      <c r="F193" s="2">
        <v>464</v>
      </c>
      <c r="G193" s="2">
        <v>394</v>
      </c>
      <c r="H193" s="3">
        <v>14112</v>
      </c>
      <c r="I193" s="2">
        <v>13588</v>
      </c>
      <c r="J193" s="3">
        <v>272</v>
      </c>
      <c r="K193" s="2" t="s">
        <v>31</v>
      </c>
      <c r="L193" s="2" t="s">
        <v>416</v>
      </c>
      <c r="M193" s="2" t="s">
        <v>416</v>
      </c>
      <c r="O193" s="12">
        <f t="shared" si="10"/>
        <v>14.413265306122449</v>
      </c>
      <c r="P193" t="str">
        <f t="shared" si="11"/>
        <v>Before</v>
      </c>
      <c r="Q193" s="11">
        <f t="shared" ca="1" si="12"/>
        <v>16.429538250564928</v>
      </c>
      <c r="R193" s="11">
        <f t="shared" ca="1" si="13"/>
        <v>10.94356686240649</v>
      </c>
      <c r="S193" s="35">
        <f t="shared" ca="1" si="14"/>
        <v>-0.33390904263361165</v>
      </c>
    </row>
    <row r="194" spans="1:19">
      <c r="A194" s="2" t="s">
        <v>250</v>
      </c>
      <c r="B194" s="2" t="s">
        <v>14</v>
      </c>
      <c r="C194" s="25">
        <v>45546</v>
      </c>
      <c r="D194" s="2" t="s">
        <v>43</v>
      </c>
      <c r="E194" s="2">
        <v>4858</v>
      </c>
      <c r="F194" s="2">
        <v>317</v>
      </c>
      <c r="G194" s="2">
        <v>129</v>
      </c>
      <c r="H194" s="3">
        <v>53438</v>
      </c>
      <c r="I194" s="2">
        <v>52687</v>
      </c>
      <c r="J194" s="3">
        <v>223</v>
      </c>
      <c r="K194" s="2" t="s">
        <v>31</v>
      </c>
      <c r="L194" s="2" t="s">
        <v>416</v>
      </c>
      <c r="M194" s="2" t="s">
        <v>416</v>
      </c>
      <c r="N194" s="2" t="s">
        <v>26</v>
      </c>
      <c r="O194" s="12">
        <f t="shared" si="10"/>
        <v>9.9255211647142492</v>
      </c>
      <c r="P194" t="str">
        <f t="shared" si="11"/>
        <v>Before</v>
      </c>
      <c r="Q194" s="11">
        <f t="shared" ca="1" si="12"/>
        <v>16.449904643943132</v>
      </c>
      <c r="R194" s="11">
        <f t="shared" ca="1" si="13"/>
        <v>10.94356686240649</v>
      </c>
      <c r="S194" s="35">
        <f t="shared" ca="1" si="14"/>
        <v>-0.33473372039053612</v>
      </c>
    </row>
    <row r="195" spans="1:19">
      <c r="A195" s="2" t="s">
        <v>251</v>
      </c>
      <c r="B195" s="2" t="s">
        <v>23</v>
      </c>
      <c r="C195" s="25">
        <v>45567</v>
      </c>
      <c r="D195" s="2" t="s">
        <v>29</v>
      </c>
      <c r="E195" s="2">
        <v>4350</v>
      </c>
      <c r="F195" s="2">
        <v>771</v>
      </c>
      <c r="G195" s="2">
        <v>7</v>
      </c>
      <c r="H195" s="3">
        <v>60900</v>
      </c>
      <c r="I195" s="2">
        <v>60592</v>
      </c>
      <c r="J195" s="3">
        <v>195</v>
      </c>
      <c r="K195" s="2" t="s">
        <v>31</v>
      </c>
      <c r="L195" s="2" t="s">
        <v>416</v>
      </c>
      <c r="M195" s="2" t="s">
        <v>416</v>
      </c>
      <c r="N195" s="2" t="s">
        <v>17</v>
      </c>
      <c r="O195" s="12">
        <f t="shared" ref="O195:O258" si="15">((E195+F195+G195)/H195)*100</f>
        <v>8.4203612479474561</v>
      </c>
      <c r="P195" t="str">
        <f t="shared" ref="P195:P258" si="16">IF(AND(C195&gt;=$W$2,C195&lt;=$X$2),"During","Before")</f>
        <v>Before</v>
      </c>
      <c r="Q195" s="11">
        <f t="shared" ref="Q195:Q258" ca="1" si="17">AVERAGEIF(P195:P494,"Before",O195)</f>
        <v>16.516479985567916</v>
      </c>
      <c r="R195" s="11">
        <f t="shared" ref="R195:R258" ca="1" si="18">AVERAGEIF(P195:P494,"During",O195)</f>
        <v>10.94356686240649</v>
      </c>
      <c r="S195" s="35">
        <f t="shared" ref="S195:S258" ca="1" si="19">(R195-Q195)/Q195</f>
        <v>-0.33741530447353379</v>
      </c>
    </row>
    <row r="196" spans="1:19">
      <c r="A196" s="2" t="s">
        <v>252</v>
      </c>
      <c r="B196" s="2" t="s">
        <v>28</v>
      </c>
      <c r="C196" s="25">
        <v>45519</v>
      </c>
      <c r="D196" s="2" t="s">
        <v>38</v>
      </c>
      <c r="E196" s="2">
        <v>914</v>
      </c>
      <c r="F196" s="2">
        <v>464</v>
      </c>
      <c r="G196" s="2">
        <v>246</v>
      </c>
      <c r="H196" s="3">
        <v>11882</v>
      </c>
      <c r="I196" s="2">
        <v>11500</v>
      </c>
      <c r="J196" s="3">
        <v>282</v>
      </c>
      <c r="K196" s="2" t="s">
        <v>50</v>
      </c>
      <c r="L196" s="2" t="s">
        <v>25</v>
      </c>
      <c r="M196" s="2" t="s">
        <v>386</v>
      </c>
      <c r="N196" s="2" t="s">
        <v>32</v>
      </c>
      <c r="O196" s="12">
        <f t="shared" si="15"/>
        <v>13.667732704931829</v>
      </c>
      <c r="P196" t="str">
        <f t="shared" si="16"/>
        <v>Before</v>
      </c>
      <c r="Q196" s="11">
        <f t="shared" ca="1" si="17"/>
        <v>16.599945127192871</v>
      </c>
      <c r="R196" s="11">
        <f t="shared" ca="1" si="18"/>
        <v>10.94356686240649</v>
      </c>
      <c r="S196" s="35">
        <f t="shared" ca="1" si="19"/>
        <v>-0.34074680497108978</v>
      </c>
    </row>
    <row r="197" spans="1:19">
      <c r="A197" s="2" t="s">
        <v>253</v>
      </c>
      <c r="B197" s="2" t="s">
        <v>28</v>
      </c>
      <c r="C197" s="25">
        <v>45645</v>
      </c>
      <c r="D197" s="2" t="s">
        <v>19</v>
      </c>
      <c r="E197" s="2">
        <v>1813</v>
      </c>
      <c r="F197" s="2">
        <v>623</v>
      </c>
      <c r="G197" s="2">
        <v>72</v>
      </c>
      <c r="H197" s="3">
        <v>19943</v>
      </c>
      <c r="I197" s="2">
        <v>18959</v>
      </c>
      <c r="J197" s="3">
        <v>85</v>
      </c>
      <c r="K197" s="2" t="s">
        <v>31</v>
      </c>
      <c r="L197" s="2" t="s">
        <v>416</v>
      </c>
      <c r="M197" s="2" t="s">
        <v>416</v>
      </c>
      <c r="N197" s="2" t="s">
        <v>26</v>
      </c>
      <c r="O197" s="12">
        <f t="shared" si="15"/>
        <v>12.575841147269717</v>
      </c>
      <c r="P197" t="str">
        <f t="shared" si="16"/>
        <v>Before</v>
      </c>
      <c r="Q197" s="11">
        <f t="shared" ca="1" si="17"/>
        <v>16.630489006591421</v>
      </c>
      <c r="R197" s="11">
        <f t="shared" ca="1" si="18"/>
        <v>10.94356686240649</v>
      </c>
      <c r="S197" s="35">
        <f t="shared" ca="1" si="19"/>
        <v>-0.34195760220465826</v>
      </c>
    </row>
    <row r="198" spans="1:19">
      <c r="A198" s="2" t="s">
        <v>254</v>
      </c>
      <c r="B198" s="2" t="s">
        <v>14</v>
      </c>
      <c r="C198" s="25">
        <v>45587</v>
      </c>
      <c r="D198" s="2" t="s">
        <v>15</v>
      </c>
      <c r="E198" s="2">
        <v>4782</v>
      </c>
      <c r="F198" s="2">
        <v>721</v>
      </c>
      <c r="G198" s="2">
        <v>82</v>
      </c>
      <c r="H198" s="3">
        <v>86076</v>
      </c>
      <c r="I198" s="2">
        <v>85339</v>
      </c>
      <c r="J198" s="3">
        <v>19</v>
      </c>
      <c r="K198" s="2" t="s">
        <v>31</v>
      </c>
      <c r="L198" s="2" t="s">
        <v>416</v>
      </c>
      <c r="M198" s="2" t="s">
        <v>416</v>
      </c>
      <c r="N198" s="2" t="s">
        <v>17</v>
      </c>
      <c r="O198" s="12">
        <f t="shared" si="15"/>
        <v>6.488452065616432</v>
      </c>
      <c r="P198" t="str">
        <f t="shared" si="16"/>
        <v>Before</v>
      </c>
      <c r="Q198" s="11">
        <f t="shared" ca="1" si="17"/>
        <v>16.673169510373757</v>
      </c>
      <c r="R198" s="11">
        <f t="shared" ca="1" si="18"/>
        <v>10.94356686240649</v>
      </c>
      <c r="S198" s="35">
        <f t="shared" ca="1" si="19"/>
        <v>-0.3436420798338557</v>
      </c>
    </row>
    <row r="199" spans="1:19">
      <c r="A199" s="2" t="s">
        <v>255</v>
      </c>
      <c r="B199" s="2" t="s">
        <v>14</v>
      </c>
      <c r="C199" s="25">
        <v>45549</v>
      </c>
      <c r="D199" s="2" t="s">
        <v>43</v>
      </c>
      <c r="E199" s="2">
        <v>1048</v>
      </c>
      <c r="F199" s="2">
        <v>374</v>
      </c>
      <c r="G199" s="2">
        <v>450</v>
      </c>
      <c r="H199" s="3">
        <v>9432</v>
      </c>
      <c r="I199" s="2">
        <v>8882</v>
      </c>
      <c r="J199" s="3">
        <v>158</v>
      </c>
      <c r="K199" s="2" t="s">
        <v>25</v>
      </c>
      <c r="L199" s="2" t="s">
        <v>416</v>
      </c>
      <c r="M199" s="2" t="s">
        <v>416</v>
      </c>
      <c r="N199" s="2" t="s">
        <v>26</v>
      </c>
      <c r="O199" s="12">
        <f t="shared" si="15"/>
        <v>19.847328244274809</v>
      </c>
      <c r="P199" t="str">
        <f t="shared" si="16"/>
        <v>Before</v>
      </c>
      <c r="Q199" s="11">
        <f t="shared" ca="1" si="17"/>
        <v>16.781517568296707</v>
      </c>
      <c r="R199" s="11">
        <f t="shared" ca="1" si="18"/>
        <v>10.94356686240649</v>
      </c>
      <c r="S199" s="35">
        <f t="shared" ca="1" si="19"/>
        <v>-0.34787978394273184</v>
      </c>
    </row>
    <row r="200" spans="1:19">
      <c r="A200" s="2" t="s">
        <v>256</v>
      </c>
      <c r="B200" s="2" t="s">
        <v>23</v>
      </c>
      <c r="C200" s="25">
        <v>45626</v>
      </c>
      <c r="D200" s="2" t="s">
        <v>38</v>
      </c>
      <c r="E200" s="2">
        <v>2509</v>
      </c>
      <c r="F200" s="2">
        <v>324</v>
      </c>
      <c r="G200" s="2">
        <v>171</v>
      </c>
      <c r="H200" s="3">
        <v>35126</v>
      </c>
      <c r="I200" s="2">
        <v>34685</v>
      </c>
      <c r="J200" s="3">
        <v>277</v>
      </c>
      <c r="K200" s="2" t="s">
        <v>25</v>
      </c>
      <c r="L200" s="2" t="s">
        <v>416</v>
      </c>
      <c r="M200" s="2" t="s">
        <v>416</v>
      </c>
      <c r="N200" s="2" t="s">
        <v>21</v>
      </c>
      <c r="O200" s="12">
        <f t="shared" si="15"/>
        <v>8.5520696919660644</v>
      </c>
      <c r="P200" t="str">
        <f t="shared" si="16"/>
        <v>Before</v>
      </c>
      <c r="Q200" s="11">
        <f t="shared" ca="1" si="17"/>
        <v>16.748551862103394</v>
      </c>
      <c r="R200" s="11">
        <f t="shared" ca="1" si="18"/>
        <v>10.94356686240649</v>
      </c>
      <c r="S200" s="35">
        <f t="shared" ca="1" si="19"/>
        <v>-0.34659623396048495</v>
      </c>
    </row>
    <row r="201" spans="1:19">
      <c r="A201" s="2" t="s">
        <v>257</v>
      </c>
      <c r="B201" s="2" t="s">
        <v>36</v>
      </c>
      <c r="C201" s="25">
        <v>45754</v>
      </c>
      <c r="D201" s="2" t="s">
        <v>15</v>
      </c>
      <c r="E201" s="2">
        <v>3718</v>
      </c>
      <c r="F201" s="2">
        <v>385</v>
      </c>
      <c r="G201" s="2">
        <v>310</v>
      </c>
      <c r="H201" s="3">
        <v>70642</v>
      </c>
      <c r="I201" s="2">
        <v>69749</v>
      </c>
      <c r="J201" s="3">
        <v>233</v>
      </c>
      <c r="K201" s="2" t="s">
        <v>25</v>
      </c>
      <c r="L201" s="2" t="s">
        <v>416</v>
      </c>
      <c r="M201" s="2" t="s">
        <v>416</v>
      </c>
      <c r="N201" s="2" t="s">
        <v>21</v>
      </c>
      <c r="O201" s="12">
        <f t="shared" si="15"/>
        <v>6.246991874522239</v>
      </c>
      <c r="P201" t="str">
        <f t="shared" si="16"/>
        <v>Before</v>
      </c>
      <c r="Q201" s="11">
        <f t="shared" ca="1" si="17"/>
        <v>16.837644059604887</v>
      </c>
      <c r="R201" s="11">
        <f t="shared" ca="1" si="18"/>
        <v>10.94356686240649</v>
      </c>
      <c r="S201" s="35">
        <f t="shared" ca="1" si="19"/>
        <v>-0.3500535571564225</v>
      </c>
    </row>
    <row r="202" spans="1:19">
      <c r="A202" s="2" t="s">
        <v>258</v>
      </c>
      <c r="B202" s="2" t="s">
        <v>14</v>
      </c>
      <c r="C202" s="25">
        <v>45672</v>
      </c>
      <c r="D202" s="2" t="s">
        <v>15</v>
      </c>
      <c r="E202" s="2">
        <v>802</v>
      </c>
      <c r="F202" s="2">
        <v>262</v>
      </c>
      <c r="G202" s="2">
        <v>244</v>
      </c>
      <c r="H202" s="3">
        <v>14436</v>
      </c>
      <c r="I202" s="2">
        <v>14280</v>
      </c>
      <c r="J202" s="3">
        <v>49</v>
      </c>
      <c r="K202" s="2" t="s">
        <v>31</v>
      </c>
      <c r="L202" s="2" t="s">
        <v>416</v>
      </c>
      <c r="M202" s="2" t="s">
        <v>416</v>
      </c>
      <c r="N202" s="2" t="s">
        <v>17</v>
      </c>
      <c r="O202" s="12">
        <f t="shared" si="15"/>
        <v>9.0606816292601824</v>
      </c>
      <c r="P202" t="str">
        <f t="shared" si="16"/>
        <v>Before</v>
      </c>
      <c r="Q202" s="11">
        <f t="shared" ca="1" si="17"/>
        <v>16.954024852847553</v>
      </c>
      <c r="R202" s="11">
        <f t="shared" ca="1" si="18"/>
        <v>10.94356686240649</v>
      </c>
      <c r="S202" s="35">
        <f t="shared" ca="1" si="19"/>
        <v>-0.35451511028259242</v>
      </c>
    </row>
    <row r="203" spans="1:19">
      <c r="A203" s="2" t="s">
        <v>259</v>
      </c>
      <c r="B203" s="2" t="s">
        <v>36</v>
      </c>
      <c r="C203" s="25">
        <v>45445</v>
      </c>
      <c r="D203" s="2" t="s">
        <v>43</v>
      </c>
      <c r="E203" s="2">
        <v>1871</v>
      </c>
      <c r="F203" s="2">
        <v>252</v>
      </c>
      <c r="G203" s="2">
        <v>335</v>
      </c>
      <c r="H203" s="3">
        <v>29936</v>
      </c>
      <c r="I203" s="2">
        <v>29576</v>
      </c>
      <c r="J203" s="3">
        <v>288</v>
      </c>
      <c r="K203" s="2" t="s">
        <v>31</v>
      </c>
      <c r="L203" s="2" t="s">
        <v>416</v>
      </c>
      <c r="M203" s="2" t="s">
        <v>416</v>
      </c>
      <c r="N203" s="2" t="s">
        <v>26</v>
      </c>
      <c r="O203" s="12">
        <f t="shared" si="15"/>
        <v>8.21084981293426</v>
      </c>
      <c r="P203" t="str">
        <f t="shared" si="16"/>
        <v>Before</v>
      </c>
      <c r="Q203" s="11">
        <f t="shared" ca="1" si="17"/>
        <v>17.041728666442967</v>
      </c>
      <c r="R203" s="11">
        <f t="shared" ca="1" si="18"/>
        <v>10.94356686240649</v>
      </c>
      <c r="S203" s="35">
        <f t="shared" ca="1" si="19"/>
        <v>-0.35783704361192109</v>
      </c>
    </row>
    <row r="204" spans="1:19">
      <c r="A204" s="2" t="s">
        <v>260</v>
      </c>
      <c r="B204" s="2" t="s">
        <v>28</v>
      </c>
      <c r="C204" s="25">
        <v>45617</v>
      </c>
      <c r="D204" s="2" t="s">
        <v>38</v>
      </c>
      <c r="E204" s="2">
        <v>3773</v>
      </c>
      <c r="F204" s="2">
        <v>299</v>
      </c>
      <c r="G204" s="2">
        <v>38</v>
      </c>
      <c r="H204" s="3">
        <v>71687</v>
      </c>
      <c r="I204" s="2">
        <v>71447</v>
      </c>
      <c r="J204" s="3">
        <v>286</v>
      </c>
      <c r="K204" s="2" t="s">
        <v>50</v>
      </c>
      <c r="L204" s="2" t="s">
        <v>416</v>
      </c>
      <c r="M204" s="2" t="s">
        <v>416</v>
      </c>
      <c r="N204" s="2" t="s">
        <v>17</v>
      </c>
      <c r="O204" s="12">
        <f t="shared" si="15"/>
        <v>5.7332570758993961</v>
      </c>
      <c r="P204" t="str">
        <f t="shared" si="16"/>
        <v>Before</v>
      </c>
      <c r="Q204" s="11">
        <f t="shared" ca="1" si="17"/>
        <v>17.140952024347559</v>
      </c>
      <c r="R204" s="11">
        <f t="shared" ca="1" si="18"/>
        <v>10.94356686240649</v>
      </c>
      <c r="S204" s="35">
        <f t="shared" ca="1" si="19"/>
        <v>-0.36155431466922633</v>
      </c>
    </row>
    <row r="205" spans="1:19">
      <c r="A205" s="2" t="s">
        <v>261</v>
      </c>
      <c r="B205" s="2" t="s">
        <v>28</v>
      </c>
      <c r="C205" s="25">
        <v>45658</v>
      </c>
      <c r="D205" s="2" t="s">
        <v>38</v>
      </c>
      <c r="E205" s="2">
        <v>2234</v>
      </c>
      <c r="F205" s="2">
        <v>653</v>
      </c>
      <c r="G205" s="2">
        <v>432</v>
      </c>
      <c r="H205" s="3">
        <v>11170</v>
      </c>
      <c r="I205" s="2">
        <v>10569</v>
      </c>
      <c r="J205" s="3">
        <v>198</v>
      </c>
      <c r="K205" s="2" t="s">
        <v>50</v>
      </c>
      <c r="L205" s="2" t="s">
        <v>416</v>
      </c>
      <c r="M205" s="2" t="s">
        <v>416</v>
      </c>
      <c r="N205" s="2" t="s">
        <v>26</v>
      </c>
      <c r="O205" s="12">
        <f t="shared" si="15"/>
        <v>29.713518352730528</v>
      </c>
      <c r="P205" t="str">
        <f t="shared" si="16"/>
        <v>Before</v>
      </c>
      <c r="Q205" s="11">
        <f t="shared" ca="1" si="17"/>
        <v>17.270584921489014</v>
      </c>
      <c r="R205" s="11">
        <f t="shared" ca="1" si="18"/>
        <v>10.94356686240649</v>
      </c>
      <c r="S205" s="35">
        <f t="shared" ca="1" si="19"/>
        <v>-0.36634648379569934</v>
      </c>
    </row>
    <row r="206" spans="1:19">
      <c r="A206" s="2" t="s">
        <v>262</v>
      </c>
      <c r="B206" s="2" t="s">
        <v>14</v>
      </c>
      <c r="C206" s="25">
        <v>45771</v>
      </c>
      <c r="D206" s="2" t="s">
        <v>58</v>
      </c>
      <c r="E206" s="2">
        <v>3820</v>
      </c>
      <c r="F206" s="2">
        <v>697</v>
      </c>
      <c r="G206" s="2">
        <v>268</v>
      </c>
      <c r="H206" s="3">
        <v>45840</v>
      </c>
      <c r="I206" s="2">
        <v>45631</v>
      </c>
      <c r="J206" s="3">
        <v>171</v>
      </c>
      <c r="K206" s="2" t="s">
        <v>25</v>
      </c>
      <c r="L206" s="2" t="s">
        <v>381</v>
      </c>
      <c r="M206" s="2" t="s">
        <v>416</v>
      </c>
      <c r="N206" s="2" t="s">
        <v>32</v>
      </c>
      <c r="O206" s="12">
        <f t="shared" si="15"/>
        <v>10.438481675392671</v>
      </c>
      <c r="P206" t="str">
        <f t="shared" si="16"/>
        <v>Before</v>
      </c>
      <c r="Q206" s="11">
        <f t="shared" ca="1" si="17"/>
        <v>17.127562698141411</v>
      </c>
      <c r="R206" s="11">
        <f t="shared" ca="1" si="18"/>
        <v>10.94356686240649</v>
      </c>
      <c r="S206" s="35">
        <f t="shared" ca="1" si="19"/>
        <v>-0.36105521519451067</v>
      </c>
    </row>
    <row r="207" spans="1:19">
      <c r="A207" s="2" t="s">
        <v>263</v>
      </c>
      <c r="B207" s="2" t="s">
        <v>14</v>
      </c>
      <c r="C207" s="25">
        <v>45467</v>
      </c>
      <c r="D207" s="2" t="s">
        <v>19</v>
      </c>
      <c r="E207" s="2">
        <v>941</v>
      </c>
      <c r="F207" s="2">
        <v>121</v>
      </c>
      <c r="G207" s="2">
        <v>458</v>
      </c>
      <c r="H207" s="3">
        <v>14115</v>
      </c>
      <c r="I207" s="2">
        <v>13838</v>
      </c>
      <c r="J207" s="3">
        <v>87</v>
      </c>
      <c r="K207" s="2" t="s">
        <v>31</v>
      </c>
      <c r="L207" s="2" t="s">
        <v>416</v>
      </c>
      <c r="M207" s="2" t="s">
        <v>416</v>
      </c>
      <c r="N207" s="2" t="s">
        <v>17</v>
      </c>
      <c r="O207" s="12">
        <f t="shared" si="15"/>
        <v>10.768685795253278</v>
      </c>
      <c r="P207" t="str">
        <f t="shared" si="16"/>
        <v>During</v>
      </c>
      <c r="Q207" s="11">
        <f t="shared" ca="1" si="17"/>
        <v>17.20534271003384</v>
      </c>
      <c r="R207" s="11">
        <f t="shared" ca="1" si="18"/>
        <v>10.94356686240649</v>
      </c>
      <c r="S207" s="35">
        <f t="shared" ca="1" si="19"/>
        <v>-0.36394368616532102</v>
      </c>
    </row>
    <row r="208" spans="1:19">
      <c r="A208" s="2" t="s">
        <v>264</v>
      </c>
      <c r="B208" s="2" t="s">
        <v>14</v>
      </c>
      <c r="C208" s="25">
        <v>45655</v>
      </c>
      <c r="D208" s="2" t="s">
        <v>38</v>
      </c>
      <c r="E208" s="2">
        <v>4274</v>
      </c>
      <c r="F208" s="2">
        <v>340</v>
      </c>
      <c r="G208" s="2">
        <v>281</v>
      </c>
      <c r="H208" s="3">
        <v>34192</v>
      </c>
      <c r="I208" s="2">
        <v>33446</v>
      </c>
      <c r="J208" s="3">
        <v>129</v>
      </c>
      <c r="K208" s="2" t="s">
        <v>25</v>
      </c>
      <c r="L208" s="2" t="s">
        <v>381</v>
      </c>
      <c r="M208" s="2" t="s">
        <v>416</v>
      </c>
      <c r="N208" s="2" t="s">
        <v>26</v>
      </c>
      <c r="O208" s="12">
        <f t="shared" si="15"/>
        <v>14.316214319138981</v>
      </c>
      <c r="P208" t="str">
        <f t="shared" si="16"/>
        <v>Before</v>
      </c>
      <c r="Q208" s="11">
        <f t="shared" ca="1" si="17"/>
        <v>17.20534271003384</v>
      </c>
      <c r="R208" s="11">
        <f t="shared" ca="1" si="18"/>
        <v>10.965426995800645</v>
      </c>
      <c r="S208" s="35">
        <f t="shared" ca="1" si="19"/>
        <v>-0.36267314283685792</v>
      </c>
    </row>
    <row r="209" spans="1:19">
      <c r="A209" s="2" t="s">
        <v>265</v>
      </c>
      <c r="B209" s="2" t="s">
        <v>23</v>
      </c>
      <c r="C209" s="25">
        <v>45467</v>
      </c>
      <c r="D209" s="2" t="s">
        <v>58</v>
      </c>
      <c r="E209" s="2">
        <v>2949</v>
      </c>
      <c r="F209" s="2">
        <v>476</v>
      </c>
      <c r="G209" s="2">
        <v>403</v>
      </c>
      <c r="H209" s="3">
        <v>44235</v>
      </c>
      <c r="I209" s="2">
        <v>43705</v>
      </c>
      <c r="J209" s="3">
        <v>135</v>
      </c>
      <c r="K209" s="2" t="s">
        <v>25</v>
      </c>
      <c r="L209" s="2" t="s">
        <v>416</v>
      </c>
      <c r="M209" s="2" t="s">
        <v>416</v>
      </c>
      <c r="N209" s="2" t="s">
        <v>21</v>
      </c>
      <c r="O209" s="12">
        <f t="shared" si="15"/>
        <v>8.6537809426924373</v>
      </c>
      <c r="P209" t="str">
        <f t="shared" si="16"/>
        <v>During</v>
      </c>
      <c r="Q209" s="11">
        <f t="shared" ca="1" si="17"/>
        <v>17.239332455809073</v>
      </c>
      <c r="R209" s="11">
        <f t="shared" ca="1" si="18"/>
        <v>10.965426995800645</v>
      </c>
      <c r="S209" s="35">
        <f t="shared" ca="1" si="19"/>
        <v>-0.36392972153015901</v>
      </c>
    </row>
    <row r="210" spans="1:19">
      <c r="A210" s="2" t="s">
        <v>266</v>
      </c>
      <c r="B210" s="2" t="s">
        <v>14</v>
      </c>
      <c r="C210" s="25">
        <v>45735</v>
      </c>
      <c r="D210" s="2" t="s">
        <v>58</v>
      </c>
      <c r="E210" s="2">
        <v>3160</v>
      </c>
      <c r="F210" s="2">
        <v>204</v>
      </c>
      <c r="G210" s="2">
        <v>297</v>
      </c>
      <c r="H210" s="3">
        <v>44240</v>
      </c>
      <c r="I210" s="2">
        <v>43666</v>
      </c>
      <c r="J210" s="3">
        <v>49</v>
      </c>
      <c r="K210" s="2" t="s">
        <v>50</v>
      </c>
      <c r="L210" s="2" t="s">
        <v>386</v>
      </c>
      <c r="M210" s="2" t="s">
        <v>416</v>
      </c>
      <c r="N210" s="2" t="s">
        <v>32</v>
      </c>
      <c r="O210" s="12">
        <f t="shared" si="15"/>
        <v>8.2753164556962027</v>
      </c>
      <c r="P210" t="str">
        <f t="shared" si="16"/>
        <v>Before</v>
      </c>
      <c r="Q210" s="11">
        <f t="shared" ca="1" si="17"/>
        <v>17.239332455809073</v>
      </c>
      <c r="R210" s="11">
        <f t="shared" ca="1" si="18"/>
        <v>11.295662146244675</v>
      </c>
      <c r="S210" s="35">
        <f t="shared" ca="1" si="19"/>
        <v>-0.34477380866111101</v>
      </c>
    </row>
    <row r="211" spans="1:19">
      <c r="A211" s="2" t="s">
        <v>267</v>
      </c>
      <c r="B211" s="2" t="s">
        <v>23</v>
      </c>
      <c r="C211" s="25">
        <v>45707</v>
      </c>
      <c r="D211" s="2" t="s">
        <v>43</v>
      </c>
      <c r="E211" s="2">
        <v>257</v>
      </c>
      <c r="F211" s="2">
        <v>966</v>
      </c>
      <c r="G211" s="2">
        <v>398</v>
      </c>
      <c r="H211" s="3">
        <v>3341</v>
      </c>
      <c r="I211" s="2">
        <v>2753</v>
      </c>
      <c r="J211" s="3">
        <v>287</v>
      </c>
      <c r="K211" s="2" t="s">
        <v>50</v>
      </c>
      <c r="L211" s="2" t="s">
        <v>416</v>
      </c>
      <c r="M211" s="2" t="s">
        <v>416</v>
      </c>
      <c r="N211" s="2" t="s">
        <v>17</v>
      </c>
      <c r="O211" s="12">
        <f t="shared" si="15"/>
        <v>48.518407662376532</v>
      </c>
      <c r="P211" t="str">
        <f t="shared" si="16"/>
        <v>Before</v>
      </c>
      <c r="Q211" s="11">
        <f t="shared" ca="1" si="17"/>
        <v>17.346046932000892</v>
      </c>
      <c r="R211" s="11">
        <f t="shared" ca="1" si="18"/>
        <v>11.295662146244675</v>
      </c>
      <c r="S211" s="35">
        <f t="shared" ca="1" si="19"/>
        <v>-0.34880482045705474</v>
      </c>
    </row>
    <row r="212" spans="1:19">
      <c r="A212" s="2" t="s">
        <v>268</v>
      </c>
      <c r="B212" s="2" t="s">
        <v>14</v>
      </c>
      <c r="C212" s="25">
        <v>45491</v>
      </c>
      <c r="D212" s="2" t="s">
        <v>38</v>
      </c>
      <c r="E212" s="2">
        <v>2120</v>
      </c>
      <c r="F212" s="2">
        <v>38</v>
      </c>
      <c r="G212" s="2">
        <v>212</v>
      </c>
      <c r="H212" s="3">
        <v>12720</v>
      </c>
      <c r="I212" s="2">
        <v>12564</v>
      </c>
      <c r="J212" s="3">
        <v>21</v>
      </c>
      <c r="K212" s="2" t="s">
        <v>50</v>
      </c>
      <c r="L212" s="2" t="s">
        <v>416</v>
      </c>
      <c r="M212" s="2" t="s">
        <v>416</v>
      </c>
      <c r="N212" s="2" t="s">
        <v>32</v>
      </c>
      <c r="O212" s="12">
        <f t="shared" si="15"/>
        <v>18.632075471698112</v>
      </c>
      <c r="P212" t="str">
        <f t="shared" si="16"/>
        <v>Before</v>
      </c>
      <c r="Q212" s="11">
        <f t="shared" ca="1" si="17"/>
        <v>16.970476320791544</v>
      </c>
      <c r="R212" s="11">
        <f t="shared" ca="1" si="18"/>
        <v>11.295662146244675</v>
      </c>
      <c r="S212" s="35">
        <f t="shared" ca="1" si="19"/>
        <v>-0.33439333506475094</v>
      </c>
    </row>
    <row r="213" spans="1:19">
      <c r="A213" s="2" t="s">
        <v>269</v>
      </c>
      <c r="B213" s="2" t="s">
        <v>23</v>
      </c>
      <c r="C213" s="25">
        <v>45719</v>
      </c>
      <c r="D213" s="2" t="s">
        <v>58</v>
      </c>
      <c r="E213" s="2">
        <v>3874</v>
      </c>
      <c r="F213" s="2">
        <v>884</v>
      </c>
      <c r="G213" s="2">
        <v>19</v>
      </c>
      <c r="H213" s="3">
        <v>38740</v>
      </c>
      <c r="I213" s="2">
        <v>38552</v>
      </c>
      <c r="J213" s="3">
        <v>219</v>
      </c>
      <c r="K213" s="2" t="s">
        <v>25</v>
      </c>
      <c r="L213" s="2" t="s">
        <v>416</v>
      </c>
      <c r="M213" s="2" t="s">
        <v>416</v>
      </c>
      <c r="N213" s="2" t="s">
        <v>21</v>
      </c>
      <c r="O213" s="12">
        <f t="shared" si="15"/>
        <v>12.330924109447599</v>
      </c>
      <c r="P213" t="str">
        <f t="shared" si="16"/>
        <v>Before</v>
      </c>
      <c r="Q213" s="11">
        <f t="shared" ca="1" si="17"/>
        <v>16.950212916512196</v>
      </c>
      <c r="R213" s="11">
        <f t="shared" ca="1" si="18"/>
        <v>11.295662146244675</v>
      </c>
      <c r="S213" s="35">
        <f t="shared" ca="1" si="19"/>
        <v>-0.33359762488641614</v>
      </c>
    </row>
    <row r="214" spans="1:19">
      <c r="A214" s="2" t="s">
        <v>270</v>
      </c>
      <c r="B214" s="2" t="s">
        <v>36</v>
      </c>
      <c r="C214" s="25">
        <v>45778</v>
      </c>
      <c r="D214" s="2" t="s">
        <v>38</v>
      </c>
      <c r="E214" s="2">
        <v>2696</v>
      </c>
      <c r="F214" s="2">
        <v>628</v>
      </c>
      <c r="G214" s="2">
        <v>443</v>
      </c>
      <c r="H214" s="3">
        <v>45832</v>
      </c>
      <c r="I214" s="2">
        <v>45632</v>
      </c>
      <c r="J214" s="3">
        <v>248</v>
      </c>
      <c r="K214" s="2" t="s">
        <v>31</v>
      </c>
      <c r="L214" s="2" t="s">
        <v>416</v>
      </c>
      <c r="M214" s="2" t="s">
        <v>416</v>
      </c>
      <c r="N214" s="2" t="s">
        <v>32</v>
      </c>
      <c r="O214" s="12">
        <f t="shared" si="15"/>
        <v>8.2191481934019901</v>
      </c>
      <c r="P214" t="str">
        <f t="shared" si="16"/>
        <v>Before</v>
      </c>
      <c r="Q214" s="11">
        <f t="shared" ca="1" si="17"/>
        <v>17.007241173389534</v>
      </c>
      <c r="R214" s="11">
        <f t="shared" ca="1" si="18"/>
        <v>11.295662146244675</v>
      </c>
      <c r="S214" s="35">
        <f t="shared" ca="1" si="19"/>
        <v>-0.33583218870803749</v>
      </c>
    </row>
    <row r="215" spans="1:19">
      <c r="A215" s="2" t="s">
        <v>271</v>
      </c>
      <c r="B215" s="2" t="s">
        <v>28</v>
      </c>
      <c r="C215" s="25">
        <v>45649</v>
      </c>
      <c r="D215" s="2" t="s">
        <v>43</v>
      </c>
      <c r="E215" s="2">
        <v>521</v>
      </c>
      <c r="F215" s="2">
        <v>746</v>
      </c>
      <c r="G215" s="2">
        <v>315</v>
      </c>
      <c r="H215" s="3">
        <v>4168</v>
      </c>
      <c r="I215" s="2">
        <v>3399</v>
      </c>
      <c r="J215" s="3">
        <v>282</v>
      </c>
      <c r="K215" s="2" t="s">
        <v>50</v>
      </c>
      <c r="L215" s="2" t="s">
        <v>416</v>
      </c>
      <c r="M215" s="2" t="s">
        <v>416</v>
      </c>
      <c r="N215" s="2" t="s">
        <v>21</v>
      </c>
      <c r="O215" s="12">
        <f t="shared" si="15"/>
        <v>37.955854126679462</v>
      </c>
      <c r="P215" t="str">
        <f t="shared" si="16"/>
        <v>Before</v>
      </c>
      <c r="Q215" s="11">
        <f t="shared" ca="1" si="17"/>
        <v>17.117092335639381</v>
      </c>
      <c r="R215" s="11">
        <f t="shared" ca="1" si="18"/>
        <v>11.295662146244675</v>
      </c>
      <c r="S215" s="35">
        <f t="shared" ca="1" si="19"/>
        <v>-0.34009457186101322</v>
      </c>
    </row>
    <row r="216" spans="1:19">
      <c r="A216" s="2" t="s">
        <v>272</v>
      </c>
      <c r="B216" s="2" t="s">
        <v>36</v>
      </c>
      <c r="C216" s="25">
        <v>45783</v>
      </c>
      <c r="D216" s="2" t="s">
        <v>43</v>
      </c>
      <c r="E216" s="2">
        <v>4872</v>
      </c>
      <c r="F216" s="2">
        <v>925</v>
      </c>
      <c r="G216" s="2">
        <v>176</v>
      </c>
      <c r="H216" s="3">
        <v>82824</v>
      </c>
      <c r="I216" s="2">
        <v>82543</v>
      </c>
      <c r="J216" s="3">
        <v>89</v>
      </c>
      <c r="K216" s="2" t="s">
        <v>31</v>
      </c>
      <c r="L216" s="2" t="s">
        <v>416</v>
      </c>
      <c r="M216" s="2" t="s">
        <v>416</v>
      </c>
      <c r="N216" s="2" t="s">
        <v>21</v>
      </c>
      <c r="O216" s="12">
        <f t="shared" si="15"/>
        <v>7.2116777745580993</v>
      </c>
      <c r="P216" t="str">
        <f t="shared" si="16"/>
        <v>Before</v>
      </c>
      <c r="Q216" s="11">
        <f t="shared" ca="1" si="17"/>
        <v>16.853310540816086</v>
      </c>
      <c r="R216" s="11">
        <f t="shared" ca="1" si="18"/>
        <v>11.295662146244675</v>
      </c>
      <c r="S216" s="35">
        <f t="shared" ca="1" si="19"/>
        <v>-0.32976597571804389</v>
      </c>
    </row>
    <row r="217" spans="1:19">
      <c r="A217" s="2" t="s">
        <v>273</v>
      </c>
      <c r="B217" s="2" t="s">
        <v>23</v>
      </c>
      <c r="C217" s="25">
        <v>45502</v>
      </c>
      <c r="D217" s="2" t="s">
        <v>29</v>
      </c>
      <c r="E217" s="2">
        <v>1509</v>
      </c>
      <c r="F217" s="2">
        <v>88</v>
      </c>
      <c r="G217" s="2">
        <v>163</v>
      </c>
      <c r="H217" s="3">
        <v>30180</v>
      </c>
      <c r="I217" s="2">
        <v>29689</v>
      </c>
      <c r="J217" s="3">
        <v>119</v>
      </c>
      <c r="K217" s="2" t="s">
        <v>31</v>
      </c>
      <c r="L217" s="2" t="s">
        <v>416</v>
      </c>
      <c r="M217" s="2" t="s">
        <v>416</v>
      </c>
      <c r="N217" s="2" t="s">
        <v>21</v>
      </c>
      <c r="O217" s="12">
        <f t="shared" si="15"/>
        <v>5.8316766070245194</v>
      </c>
      <c r="P217" t="str">
        <f t="shared" si="16"/>
        <v>Before</v>
      </c>
      <c r="Q217" s="11">
        <f t="shared" ca="1" si="17"/>
        <v>16.976921217306575</v>
      </c>
      <c r="R217" s="11">
        <f t="shared" ca="1" si="18"/>
        <v>11.295662146244675</v>
      </c>
      <c r="S217" s="35">
        <f t="shared" ca="1" si="19"/>
        <v>-0.33464601728082027</v>
      </c>
    </row>
    <row r="218" spans="1:19">
      <c r="A218" s="2" t="s">
        <v>274</v>
      </c>
      <c r="B218" s="2" t="s">
        <v>36</v>
      </c>
      <c r="C218" s="25">
        <v>45629</v>
      </c>
      <c r="D218" s="2" t="s">
        <v>43</v>
      </c>
      <c r="E218" s="2">
        <v>4606</v>
      </c>
      <c r="F218" s="2">
        <v>931</v>
      </c>
      <c r="G218" s="2">
        <v>230</v>
      </c>
      <c r="H218" s="3">
        <v>92120</v>
      </c>
      <c r="I218" s="2">
        <v>91440</v>
      </c>
      <c r="J218" s="3">
        <v>56</v>
      </c>
      <c r="K218" s="2" t="s">
        <v>25</v>
      </c>
      <c r="L218" s="2" t="s">
        <v>416</v>
      </c>
      <c r="M218" s="2" t="s">
        <v>416</v>
      </c>
      <c r="O218" s="12">
        <f t="shared" si="15"/>
        <v>6.2603126356925749</v>
      </c>
      <c r="P218" t="str">
        <f t="shared" si="16"/>
        <v>Before</v>
      </c>
      <c r="Q218" s="11">
        <f t="shared" ca="1" si="17"/>
        <v>17.121664653803744</v>
      </c>
      <c r="R218" s="11">
        <f t="shared" ca="1" si="18"/>
        <v>11.295662146244675</v>
      </c>
      <c r="S218" s="35">
        <f t="shared" ca="1" si="19"/>
        <v>-0.34027079874296956</v>
      </c>
    </row>
    <row r="219" spans="1:19">
      <c r="A219" s="2" t="s">
        <v>275</v>
      </c>
      <c r="B219" s="2" t="s">
        <v>36</v>
      </c>
      <c r="C219" s="25">
        <v>45454</v>
      </c>
      <c r="D219" s="2" t="s">
        <v>38</v>
      </c>
      <c r="E219" s="2">
        <v>1869</v>
      </c>
      <c r="F219" s="2">
        <v>453</v>
      </c>
      <c r="G219" s="2">
        <v>490</v>
      </c>
      <c r="H219" s="3">
        <v>14952</v>
      </c>
      <c r="I219" s="2">
        <v>14309</v>
      </c>
      <c r="J219" s="3">
        <v>275</v>
      </c>
      <c r="K219" s="2" t="s">
        <v>25</v>
      </c>
      <c r="L219" s="2" t="s">
        <v>416</v>
      </c>
      <c r="M219" s="2" t="s">
        <v>416</v>
      </c>
      <c r="N219" s="2" t="s">
        <v>32</v>
      </c>
      <c r="O219" s="12">
        <f t="shared" si="15"/>
        <v>18.806848582129483</v>
      </c>
      <c r="P219" t="str">
        <f t="shared" si="16"/>
        <v>Before</v>
      </c>
      <c r="Q219" s="11">
        <f t="shared" ca="1" si="17"/>
        <v>17.26457718035784</v>
      </c>
      <c r="R219" s="11">
        <f t="shared" ca="1" si="18"/>
        <v>11.295662146244675</v>
      </c>
      <c r="S219" s="35">
        <f t="shared" ca="1" si="19"/>
        <v>-0.34573189784827663</v>
      </c>
    </row>
    <row r="220" spans="1:19">
      <c r="A220" s="2" t="s">
        <v>276</v>
      </c>
      <c r="B220" s="2" t="s">
        <v>14</v>
      </c>
      <c r="C220" s="25">
        <v>45685</v>
      </c>
      <c r="D220" s="2" t="s">
        <v>15</v>
      </c>
      <c r="E220" s="2">
        <v>1188</v>
      </c>
      <c r="F220" s="2">
        <v>470</v>
      </c>
      <c r="G220" s="2">
        <v>174</v>
      </c>
      <c r="H220" s="3">
        <v>7128</v>
      </c>
      <c r="I220" s="2">
        <v>6145</v>
      </c>
      <c r="J220" s="3">
        <v>270</v>
      </c>
      <c r="K220" s="2" t="s">
        <v>25</v>
      </c>
      <c r="L220" s="2" t="s">
        <v>416</v>
      </c>
      <c r="M220" s="2" t="s">
        <v>416</v>
      </c>
      <c r="N220" s="2" t="s">
        <v>32</v>
      </c>
      <c r="O220" s="12">
        <f t="shared" si="15"/>
        <v>25.701459034792368</v>
      </c>
      <c r="P220" t="str">
        <f t="shared" si="16"/>
        <v>Before</v>
      </c>
      <c r="Q220" s="11">
        <f t="shared" ca="1" si="17"/>
        <v>17.244013561667551</v>
      </c>
      <c r="R220" s="11">
        <f t="shared" ca="1" si="18"/>
        <v>11.295662146244675</v>
      </c>
      <c r="S220" s="35">
        <f t="shared" ca="1" si="19"/>
        <v>-0.34495167810849547</v>
      </c>
    </row>
    <row r="221" spans="1:19">
      <c r="A221" s="2" t="s">
        <v>277</v>
      </c>
      <c r="B221" s="2" t="s">
        <v>28</v>
      </c>
      <c r="C221" s="25">
        <v>45445</v>
      </c>
      <c r="D221" s="2" t="s">
        <v>29</v>
      </c>
      <c r="E221" s="2">
        <v>84</v>
      </c>
      <c r="F221" s="2">
        <v>897</v>
      </c>
      <c r="G221" s="2">
        <v>85</v>
      </c>
      <c r="H221" s="3">
        <v>588</v>
      </c>
      <c r="I221" s="2">
        <v>8</v>
      </c>
      <c r="J221" s="3">
        <v>12</v>
      </c>
      <c r="K221" s="2" t="s">
        <v>31</v>
      </c>
      <c r="L221" s="2" t="s">
        <v>416</v>
      </c>
      <c r="M221" s="2" t="s">
        <v>416</v>
      </c>
      <c r="O221" s="12">
        <f t="shared" si="15"/>
        <v>181.29251700680271</v>
      </c>
      <c r="P221" t="str">
        <f t="shared" si="16"/>
        <v>Before</v>
      </c>
      <c r="Q221" s="11">
        <f t="shared" ca="1" si="17"/>
        <v>17.129723757976674</v>
      </c>
      <c r="R221" s="11">
        <f t="shared" ca="1" si="18"/>
        <v>11.295662146244675</v>
      </c>
      <c r="S221" s="35">
        <f t="shared" ca="1" si="19"/>
        <v>-0.3405811847383291</v>
      </c>
    </row>
    <row r="222" spans="1:19">
      <c r="A222" s="2" t="s">
        <v>278</v>
      </c>
      <c r="B222" s="2" t="s">
        <v>36</v>
      </c>
      <c r="C222" s="25">
        <v>45739</v>
      </c>
      <c r="D222" s="2" t="s">
        <v>58</v>
      </c>
      <c r="E222" s="2">
        <v>4453</v>
      </c>
      <c r="F222" s="2">
        <v>111</v>
      </c>
      <c r="G222" s="2">
        <v>420</v>
      </c>
      <c r="H222" s="3">
        <v>31171</v>
      </c>
      <c r="I222" s="2">
        <v>30565</v>
      </c>
      <c r="J222" s="3">
        <v>23</v>
      </c>
      <c r="K222" s="2" t="s">
        <v>25</v>
      </c>
      <c r="L222" s="2" t="s">
        <v>416</v>
      </c>
      <c r="M222" s="2" t="s">
        <v>416</v>
      </c>
      <c r="O222" s="12">
        <f t="shared" si="15"/>
        <v>15.989220750056141</v>
      </c>
      <c r="P222" t="str">
        <f t="shared" si="16"/>
        <v>Before</v>
      </c>
      <c r="Q222" s="11">
        <f t="shared" ca="1" si="17"/>
        <v>14.880918371006457</v>
      </c>
      <c r="R222" s="11">
        <f t="shared" ca="1" si="18"/>
        <v>11.295662146244675</v>
      </c>
      <c r="S222" s="35">
        <f t="shared" ca="1" si="19"/>
        <v>-0.24092976894135709</v>
      </c>
    </row>
    <row r="223" spans="1:19">
      <c r="A223" s="2" t="s">
        <v>279</v>
      </c>
      <c r="B223" s="2" t="s">
        <v>36</v>
      </c>
      <c r="C223" s="25">
        <v>45573</v>
      </c>
      <c r="D223" s="2" t="s">
        <v>15</v>
      </c>
      <c r="E223" s="2">
        <v>1814</v>
      </c>
      <c r="F223" s="2">
        <v>653</v>
      </c>
      <c r="G223" s="2">
        <v>363</v>
      </c>
      <c r="H223" s="3">
        <v>25396</v>
      </c>
      <c r="I223" s="2">
        <v>25286</v>
      </c>
      <c r="J223" s="3">
        <v>39</v>
      </c>
      <c r="K223" s="2" t="s">
        <v>50</v>
      </c>
      <c r="L223" s="2" t="s">
        <v>381</v>
      </c>
      <c r="M223" s="2" t="s">
        <v>416</v>
      </c>
      <c r="N223" s="2" t="s">
        <v>17</v>
      </c>
      <c r="O223" s="12">
        <f t="shared" si="15"/>
        <v>11.143487163332809</v>
      </c>
      <c r="P223" t="str">
        <f t="shared" si="16"/>
        <v>Before</v>
      </c>
      <c r="Q223" s="11">
        <f t="shared" ca="1" si="17"/>
        <v>14.865525282408543</v>
      </c>
      <c r="R223" s="11">
        <f t="shared" ca="1" si="18"/>
        <v>11.295662146244675</v>
      </c>
      <c r="S223" s="35">
        <f t="shared" ca="1" si="19"/>
        <v>-0.24014376003169874</v>
      </c>
    </row>
    <row r="224" spans="1:19">
      <c r="A224" s="2" t="s">
        <v>280</v>
      </c>
      <c r="B224" s="2" t="s">
        <v>14</v>
      </c>
      <c r="C224" s="25">
        <v>45608</v>
      </c>
      <c r="D224" s="2" t="s">
        <v>43</v>
      </c>
      <c r="E224" s="2">
        <v>3338</v>
      </c>
      <c r="F224" s="2">
        <v>277</v>
      </c>
      <c r="G224" s="2">
        <v>118</v>
      </c>
      <c r="H224" s="3">
        <v>60084</v>
      </c>
      <c r="I224" s="2">
        <v>59842</v>
      </c>
      <c r="J224" s="3">
        <v>252</v>
      </c>
      <c r="K224" s="2" t="s">
        <v>25</v>
      </c>
      <c r="L224" s="2" t="s">
        <v>416</v>
      </c>
      <c r="M224" s="2" t="s">
        <v>416</v>
      </c>
      <c r="O224" s="12">
        <f t="shared" si="15"/>
        <v>6.2129685107516144</v>
      </c>
      <c r="P224" t="str">
        <f t="shared" si="16"/>
        <v>Before</v>
      </c>
      <c r="Q224" s="11">
        <f t="shared" ca="1" si="17"/>
        <v>14.917948354508201</v>
      </c>
      <c r="R224" s="11">
        <f t="shared" ca="1" si="18"/>
        <v>11.295662146244675</v>
      </c>
      <c r="S224" s="35">
        <f t="shared" ca="1" si="19"/>
        <v>-0.2428139662495126</v>
      </c>
    </row>
    <row r="225" spans="1:19">
      <c r="A225" s="2" t="s">
        <v>281</v>
      </c>
      <c r="B225" s="2" t="s">
        <v>36</v>
      </c>
      <c r="C225" s="25">
        <v>45790</v>
      </c>
      <c r="D225" s="2" t="s">
        <v>43</v>
      </c>
      <c r="E225" s="2">
        <v>602</v>
      </c>
      <c r="F225" s="2">
        <v>594</v>
      </c>
      <c r="G225" s="2">
        <v>156</v>
      </c>
      <c r="H225" s="3">
        <v>4214</v>
      </c>
      <c r="I225" s="2">
        <v>3363</v>
      </c>
      <c r="J225" s="3">
        <v>164</v>
      </c>
      <c r="K225" s="2" t="s">
        <v>25</v>
      </c>
      <c r="L225" s="2" t="s">
        <v>416</v>
      </c>
      <c r="M225" s="2" t="s">
        <v>416</v>
      </c>
      <c r="N225" s="2" t="s">
        <v>26</v>
      </c>
      <c r="O225" s="12">
        <f t="shared" si="15"/>
        <v>32.083531086853348</v>
      </c>
      <c r="P225" t="str">
        <f t="shared" si="16"/>
        <v>Before</v>
      </c>
      <c r="Q225" s="11">
        <f t="shared" ca="1" si="17"/>
        <v>15.042305209419009</v>
      </c>
      <c r="R225" s="11">
        <f t="shared" ca="1" si="18"/>
        <v>11.295662146244675</v>
      </c>
      <c r="S225" s="35">
        <f t="shared" ca="1" si="19"/>
        <v>-0.2490737297916483</v>
      </c>
    </row>
    <row r="226" spans="1:19">
      <c r="A226" s="2" t="s">
        <v>282</v>
      </c>
      <c r="B226" s="2" t="s">
        <v>14</v>
      </c>
      <c r="C226" s="25">
        <v>45463</v>
      </c>
      <c r="D226" s="2" t="s">
        <v>38</v>
      </c>
      <c r="E226" s="2">
        <v>4672</v>
      </c>
      <c r="F226" s="2">
        <v>325</v>
      </c>
      <c r="G226" s="2">
        <v>32</v>
      </c>
      <c r="H226" s="3">
        <v>88768</v>
      </c>
      <c r="I226" s="2">
        <v>87833</v>
      </c>
      <c r="J226" s="3">
        <v>118</v>
      </c>
      <c r="K226" s="2" t="s">
        <v>31</v>
      </c>
      <c r="L226" s="2" t="s">
        <v>416</v>
      </c>
      <c r="M226" s="2" t="s">
        <v>416</v>
      </c>
      <c r="O226" s="12">
        <f t="shared" si="15"/>
        <v>5.6653298485940882</v>
      </c>
      <c r="P226" t="str">
        <f t="shared" si="16"/>
        <v>During</v>
      </c>
      <c r="Q226" s="11">
        <f t="shared" ca="1" si="17"/>
        <v>14.79533092134025</v>
      </c>
      <c r="R226" s="11">
        <f t="shared" ca="1" si="18"/>
        <v>11.295662146244675</v>
      </c>
      <c r="S226" s="35">
        <f t="shared" ca="1" si="19"/>
        <v>-0.23653872925868658</v>
      </c>
    </row>
    <row r="227" spans="1:19">
      <c r="A227" s="2" t="s">
        <v>283</v>
      </c>
      <c r="B227" s="2" t="s">
        <v>28</v>
      </c>
      <c r="C227" s="25">
        <v>45511</v>
      </c>
      <c r="D227" s="2" t="s">
        <v>38</v>
      </c>
      <c r="E227" s="2">
        <v>1741</v>
      </c>
      <c r="F227" s="2">
        <v>164</v>
      </c>
      <c r="G227" s="2">
        <v>318</v>
      </c>
      <c r="H227" s="3">
        <v>8705</v>
      </c>
      <c r="I227" s="2">
        <v>8272</v>
      </c>
      <c r="J227" s="3">
        <v>121</v>
      </c>
      <c r="K227" s="2" t="s">
        <v>25</v>
      </c>
      <c r="L227" s="2" t="s">
        <v>416</v>
      </c>
      <c r="M227" s="2" t="s">
        <v>416</v>
      </c>
      <c r="O227" s="12">
        <f t="shared" si="15"/>
        <v>25.537047673750717</v>
      </c>
      <c r="P227" t="str">
        <f t="shared" si="16"/>
        <v>Before</v>
      </c>
      <c r="Q227" s="11">
        <f t="shared" ca="1" si="17"/>
        <v>14.79533092134025</v>
      </c>
      <c r="R227" s="11">
        <f t="shared" ca="1" si="18"/>
        <v>12.234050862519771</v>
      </c>
      <c r="S227" s="35">
        <f t="shared" ca="1" si="19"/>
        <v>-0.17311407716647834</v>
      </c>
    </row>
    <row r="228" spans="1:19">
      <c r="A228" s="2" t="s">
        <v>284</v>
      </c>
      <c r="B228" s="2" t="s">
        <v>28</v>
      </c>
      <c r="C228" s="25">
        <v>45455</v>
      </c>
      <c r="D228" s="2" t="s">
        <v>19</v>
      </c>
      <c r="E228" s="2">
        <v>246</v>
      </c>
      <c r="F228" s="2">
        <v>149</v>
      </c>
      <c r="G228" s="2">
        <v>130</v>
      </c>
      <c r="H228" s="3">
        <v>4674</v>
      </c>
      <c r="I228" s="2">
        <v>4390</v>
      </c>
      <c r="J228" s="3">
        <v>217</v>
      </c>
      <c r="K228" s="2" t="s">
        <v>50</v>
      </c>
      <c r="L228" s="2" t="s">
        <v>416</v>
      </c>
      <c r="M228" s="2" t="s">
        <v>416</v>
      </c>
      <c r="N228" s="2" t="s">
        <v>26</v>
      </c>
      <c r="O228" s="12">
        <f t="shared" si="15"/>
        <v>11.232349165596919</v>
      </c>
      <c r="P228" t="str">
        <f t="shared" si="16"/>
        <v>Before</v>
      </c>
      <c r="Q228" s="11">
        <f t="shared" ca="1" si="17"/>
        <v>14.637364498510687</v>
      </c>
      <c r="R228" s="11">
        <f t="shared" ca="1" si="18"/>
        <v>12.234050862519771</v>
      </c>
      <c r="S228" s="35">
        <f t="shared" ca="1" si="19"/>
        <v>-0.16419032512549964</v>
      </c>
    </row>
    <row r="229" spans="1:19">
      <c r="A229" s="2" t="s">
        <v>285</v>
      </c>
      <c r="B229" s="2" t="s">
        <v>28</v>
      </c>
      <c r="C229" s="25">
        <v>45474</v>
      </c>
      <c r="D229" s="2" t="s">
        <v>29</v>
      </c>
      <c r="E229" s="2">
        <v>4808</v>
      </c>
      <c r="F229" s="2">
        <v>772</v>
      </c>
      <c r="G229" s="2">
        <v>320</v>
      </c>
      <c r="H229" s="3">
        <v>72120</v>
      </c>
      <c r="I229" s="2">
        <v>71696</v>
      </c>
      <c r="J229" s="3">
        <v>195</v>
      </c>
      <c r="K229" s="2" t="s">
        <v>31</v>
      </c>
      <c r="L229" s="2" t="s">
        <v>416</v>
      </c>
      <c r="M229" s="2" t="s">
        <v>416</v>
      </c>
      <c r="N229" s="2" t="s">
        <v>17</v>
      </c>
      <c r="O229" s="12">
        <f t="shared" si="15"/>
        <v>8.1808097615085966</v>
      </c>
      <c r="P229" t="str">
        <f t="shared" si="16"/>
        <v>During</v>
      </c>
      <c r="Q229" s="11">
        <f t="shared" ca="1" si="17"/>
        <v>14.688185622882532</v>
      </c>
      <c r="R229" s="11">
        <f t="shared" ca="1" si="18"/>
        <v>12.234050862519771</v>
      </c>
      <c r="S229" s="35">
        <f t="shared" ca="1" si="19"/>
        <v>-0.16708222672101153</v>
      </c>
    </row>
    <row r="230" spans="1:19">
      <c r="A230" s="2" t="s">
        <v>286</v>
      </c>
      <c r="B230" s="2" t="s">
        <v>28</v>
      </c>
      <c r="C230" s="25">
        <v>45476</v>
      </c>
      <c r="D230" s="2" t="s">
        <v>38</v>
      </c>
      <c r="E230" s="2">
        <v>4799</v>
      </c>
      <c r="F230" s="2">
        <v>694</v>
      </c>
      <c r="G230" s="2">
        <v>289</v>
      </c>
      <c r="H230" s="3">
        <v>43191</v>
      </c>
      <c r="I230" s="2">
        <v>42228</v>
      </c>
      <c r="J230" s="3">
        <v>118</v>
      </c>
      <c r="K230" s="2" t="s">
        <v>25</v>
      </c>
      <c r="L230" s="2" t="s">
        <v>416</v>
      </c>
      <c r="M230" s="2" t="s">
        <v>416</v>
      </c>
      <c r="O230" s="12">
        <f t="shared" si="15"/>
        <v>13.387048227640017</v>
      </c>
      <c r="P230" t="str">
        <f t="shared" si="16"/>
        <v>During</v>
      </c>
      <c r="Q230" s="11">
        <f t="shared" ca="1" si="17"/>
        <v>14.688185622882532</v>
      </c>
      <c r="R230" s="11">
        <f t="shared" ca="1" si="18"/>
        <v>13.044699082722001</v>
      </c>
      <c r="S230" s="35">
        <f t="shared" ca="1" si="19"/>
        <v>-0.11189173274064323</v>
      </c>
    </row>
    <row r="231" spans="1:19">
      <c r="A231" s="2" t="s">
        <v>287</v>
      </c>
      <c r="B231" s="2" t="s">
        <v>36</v>
      </c>
      <c r="C231" s="25">
        <v>45488</v>
      </c>
      <c r="D231" s="2" t="s">
        <v>15</v>
      </c>
      <c r="E231" s="2">
        <v>3663</v>
      </c>
      <c r="F231" s="2">
        <v>17</v>
      </c>
      <c r="G231" s="2">
        <v>295</v>
      </c>
      <c r="H231" s="3">
        <v>51282</v>
      </c>
      <c r="I231" s="2">
        <v>50567</v>
      </c>
      <c r="J231" s="3">
        <v>84</v>
      </c>
      <c r="K231" s="2" t="s">
        <v>31</v>
      </c>
      <c r="L231" s="2" t="s">
        <v>416</v>
      </c>
      <c r="M231" s="2" t="s">
        <v>416</v>
      </c>
      <c r="N231" s="2" t="s">
        <v>26</v>
      </c>
      <c r="O231" s="12">
        <f t="shared" si="15"/>
        <v>7.751257751257751</v>
      </c>
      <c r="P231" t="str">
        <f t="shared" si="16"/>
        <v>During</v>
      </c>
      <c r="Q231" s="11">
        <f t="shared" ca="1" si="17"/>
        <v>14.688185622882532</v>
      </c>
      <c r="R231" s="11">
        <f t="shared" ca="1" si="18"/>
        <v>12.9591117964925</v>
      </c>
      <c r="S231" s="35">
        <f t="shared" ca="1" si="19"/>
        <v>-0.11771868022258175</v>
      </c>
    </row>
    <row r="232" spans="1:19">
      <c r="A232" s="2" t="s">
        <v>288</v>
      </c>
      <c r="B232" s="2" t="s">
        <v>28</v>
      </c>
      <c r="C232" s="25">
        <v>45778</v>
      </c>
      <c r="D232" s="2" t="s">
        <v>19</v>
      </c>
      <c r="E232" s="2">
        <v>1430</v>
      </c>
      <c r="F232" s="2">
        <v>376</v>
      </c>
      <c r="G232" s="2">
        <v>33</v>
      </c>
      <c r="H232" s="3">
        <v>21450</v>
      </c>
      <c r="I232" s="2">
        <v>20509</v>
      </c>
      <c r="J232" s="3">
        <v>251</v>
      </c>
      <c r="K232" s="2" t="s">
        <v>50</v>
      </c>
      <c r="L232" s="2" t="s">
        <v>416</v>
      </c>
      <c r="M232" s="2" t="s">
        <v>416</v>
      </c>
      <c r="N232" s="2" t="s">
        <v>17</v>
      </c>
      <c r="O232" s="12">
        <f t="shared" si="15"/>
        <v>8.5734265734265733</v>
      </c>
      <c r="P232" t="str">
        <f t="shared" si="16"/>
        <v>Before</v>
      </c>
      <c r="Q232" s="11">
        <f t="shared" ca="1" si="17"/>
        <v>14.688185622882532</v>
      </c>
      <c r="R232" s="11">
        <f t="shared" ca="1" si="18"/>
        <v>14.695063144904083</v>
      </c>
      <c r="S232" s="35">
        <f t="shared" ca="1" si="19"/>
        <v>4.6823496094958612E-4</v>
      </c>
    </row>
    <row r="233" spans="1:19">
      <c r="A233" s="2" t="s">
        <v>289</v>
      </c>
      <c r="B233" s="2" t="s">
        <v>14</v>
      </c>
      <c r="C233" s="25">
        <v>45776</v>
      </c>
      <c r="D233" s="2" t="s">
        <v>29</v>
      </c>
      <c r="E233" s="2">
        <v>249</v>
      </c>
      <c r="F233" s="2">
        <v>592</v>
      </c>
      <c r="G233" s="2">
        <v>230</v>
      </c>
      <c r="H233" s="3">
        <v>1494</v>
      </c>
      <c r="I233" s="2">
        <v>1044</v>
      </c>
      <c r="J233" s="3">
        <v>201</v>
      </c>
      <c r="K233" s="2" t="s">
        <v>31</v>
      </c>
      <c r="L233" s="2" t="s">
        <v>416</v>
      </c>
      <c r="M233" s="2" t="s">
        <v>416</v>
      </c>
      <c r="N233" s="2" t="s">
        <v>32</v>
      </c>
      <c r="O233" s="12">
        <f t="shared" si="15"/>
        <v>71.686746987951807</v>
      </c>
      <c r="P233" t="str">
        <f t="shared" si="16"/>
        <v>Before</v>
      </c>
      <c r="Q233" s="11">
        <f t="shared" ca="1" si="17"/>
        <v>14.780833487268229</v>
      </c>
      <c r="R233" s="11">
        <f t="shared" ca="1" si="18"/>
        <v>14.695063144904083</v>
      </c>
      <c r="S233" s="35">
        <f t="shared" ca="1" si="19"/>
        <v>-5.802808240687244E-3</v>
      </c>
    </row>
    <row r="234" spans="1:19">
      <c r="A234" s="2" t="s">
        <v>290</v>
      </c>
      <c r="B234" s="2" t="s">
        <v>36</v>
      </c>
      <c r="C234" s="25">
        <v>45724</v>
      </c>
      <c r="D234" s="2" t="s">
        <v>43</v>
      </c>
      <c r="E234" s="2">
        <v>2382</v>
      </c>
      <c r="F234" s="2">
        <v>265</v>
      </c>
      <c r="G234" s="2">
        <v>134</v>
      </c>
      <c r="H234" s="3">
        <v>38112</v>
      </c>
      <c r="I234" s="2">
        <v>37437</v>
      </c>
      <c r="J234" s="3">
        <v>249</v>
      </c>
      <c r="K234" s="2" t="s">
        <v>50</v>
      </c>
      <c r="L234" s="2" t="s">
        <v>416</v>
      </c>
      <c r="M234" s="2" t="s">
        <v>416</v>
      </c>
      <c r="N234" s="2" t="s">
        <v>32</v>
      </c>
      <c r="O234" s="12">
        <f t="shared" si="15"/>
        <v>7.2969143576826196</v>
      </c>
      <c r="P234" t="str">
        <f t="shared" si="16"/>
        <v>Before</v>
      </c>
      <c r="Q234" s="11">
        <f t="shared" ca="1" si="17"/>
        <v>13.90535789495002</v>
      </c>
      <c r="R234" s="11">
        <f t="shared" ca="1" si="18"/>
        <v>14.695063144904083</v>
      </c>
      <c r="S234" s="35">
        <f t="shared" ca="1" si="19"/>
        <v>5.6791436503828355E-2</v>
      </c>
    </row>
    <row r="235" spans="1:19">
      <c r="A235" s="2" t="s">
        <v>291</v>
      </c>
      <c r="B235" s="2" t="s">
        <v>36</v>
      </c>
      <c r="C235" s="25">
        <v>45444</v>
      </c>
      <c r="D235" s="2" t="s">
        <v>19</v>
      </c>
      <c r="E235" s="2">
        <v>1272</v>
      </c>
      <c r="F235" s="2">
        <v>465</v>
      </c>
      <c r="G235" s="2">
        <v>99</v>
      </c>
      <c r="H235" s="3">
        <v>24168</v>
      </c>
      <c r="I235" s="2">
        <v>23719</v>
      </c>
      <c r="J235" s="3">
        <v>42</v>
      </c>
      <c r="K235" s="2" t="s">
        <v>25</v>
      </c>
      <c r="L235" s="2" t="s">
        <v>416</v>
      </c>
      <c r="M235" s="2" t="s">
        <v>416</v>
      </c>
      <c r="O235" s="12">
        <f t="shared" si="15"/>
        <v>7.5968222442899709</v>
      </c>
      <c r="P235" t="str">
        <f t="shared" si="16"/>
        <v>Before</v>
      </c>
      <c r="Q235" s="11">
        <f t="shared" ca="1" si="17"/>
        <v>14.008614825219823</v>
      </c>
      <c r="R235" s="11">
        <f t="shared" ca="1" si="18"/>
        <v>14.695063144904083</v>
      </c>
      <c r="S235" s="35">
        <f t="shared" ca="1" si="19"/>
        <v>4.9001869795751787E-2</v>
      </c>
    </row>
    <row r="236" spans="1:19">
      <c r="A236" s="2" t="s">
        <v>292</v>
      </c>
      <c r="B236" s="2" t="s">
        <v>36</v>
      </c>
      <c r="C236" s="25">
        <v>45648</v>
      </c>
      <c r="D236" s="2" t="s">
        <v>43</v>
      </c>
      <c r="E236" s="2">
        <v>3196</v>
      </c>
      <c r="F236" s="2">
        <v>941</v>
      </c>
      <c r="G236" s="2">
        <v>376</v>
      </c>
      <c r="H236" s="3">
        <v>35156</v>
      </c>
      <c r="I236" s="2">
        <v>34444</v>
      </c>
      <c r="J236" s="3">
        <v>241</v>
      </c>
      <c r="K236" s="2" t="s">
        <v>25</v>
      </c>
      <c r="L236" s="2" t="s">
        <v>416</v>
      </c>
      <c r="M236" s="2" t="s">
        <v>416</v>
      </c>
      <c r="N236" s="2" t="s">
        <v>26</v>
      </c>
      <c r="O236" s="12">
        <f t="shared" si="15"/>
        <v>12.837069063602231</v>
      </c>
      <c r="P236" t="str">
        <f t="shared" si="16"/>
        <v>Before</v>
      </c>
      <c r="Q236" s="11">
        <f t="shared" ca="1" si="17"/>
        <v>14.110389310631408</v>
      </c>
      <c r="R236" s="11">
        <f t="shared" ca="1" si="18"/>
        <v>14.695063144904083</v>
      </c>
      <c r="S236" s="35">
        <f t="shared" ca="1" si="19"/>
        <v>4.143569829304105E-2</v>
      </c>
    </row>
    <row r="237" spans="1:19">
      <c r="A237" s="2" t="s">
        <v>293</v>
      </c>
      <c r="B237" s="2" t="s">
        <v>36</v>
      </c>
      <c r="C237" s="25">
        <v>45523</v>
      </c>
      <c r="D237" s="2" t="s">
        <v>19</v>
      </c>
      <c r="E237" s="2">
        <v>1257</v>
      </c>
      <c r="F237" s="2">
        <v>19</v>
      </c>
      <c r="G237" s="2">
        <v>351</v>
      </c>
      <c r="H237" s="3">
        <v>12570</v>
      </c>
      <c r="I237" s="2">
        <v>11660</v>
      </c>
      <c r="J237" s="3">
        <v>194</v>
      </c>
      <c r="K237" s="2" t="s">
        <v>50</v>
      </c>
      <c r="L237" s="2" t="s">
        <v>386</v>
      </c>
      <c r="M237" s="2" t="s">
        <v>31</v>
      </c>
      <c r="N237" s="2" t="s">
        <v>21</v>
      </c>
      <c r="O237" s="12">
        <f t="shared" si="15"/>
        <v>12.943516308671441</v>
      </c>
      <c r="P237" t="str">
        <f t="shared" si="16"/>
        <v>Before</v>
      </c>
      <c r="Q237" s="11">
        <f t="shared" ca="1" si="17"/>
        <v>14.13092673397059</v>
      </c>
      <c r="R237" s="11">
        <f t="shared" ca="1" si="18"/>
        <v>14.695063144904083</v>
      </c>
      <c r="S237" s="35">
        <f t="shared" ca="1" si="19"/>
        <v>3.9922109961642881E-2</v>
      </c>
    </row>
    <row r="238" spans="1:19">
      <c r="A238" s="2" t="s">
        <v>294</v>
      </c>
      <c r="B238" s="2" t="s">
        <v>28</v>
      </c>
      <c r="C238" s="25">
        <v>45587</v>
      </c>
      <c r="D238" s="2" t="s">
        <v>29</v>
      </c>
      <c r="E238" s="2">
        <v>3770</v>
      </c>
      <c r="F238" s="2">
        <v>917</v>
      </c>
      <c r="G238" s="2">
        <v>129</v>
      </c>
      <c r="H238" s="3">
        <v>71630</v>
      </c>
      <c r="I238" s="2">
        <v>71322</v>
      </c>
      <c r="J238" s="3">
        <v>76</v>
      </c>
      <c r="K238" s="2" t="s">
        <v>50</v>
      </c>
      <c r="L238" s="2" t="s">
        <v>416</v>
      </c>
      <c r="M238" s="2" t="s">
        <v>416</v>
      </c>
      <c r="N238" s="2" t="s">
        <v>17</v>
      </c>
      <c r="O238" s="12">
        <f t="shared" si="15"/>
        <v>6.7234398994834565</v>
      </c>
      <c r="P238" t="str">
        <f t="shared" si="16"/>
        <v>Before</v>
      </c>
      <c r="Q238" s="11">
        <f t="shared" ca="1" si="17"/>
        <v>14.150392478647625</v>
      </c>
      <c r="R238" s="11">
        <f t="shared" ca="1" si="18"/>
        <v>14.695063144904083</v>
      </c>
      <c r="S238" s="35">
        <f t="shared" ca="1" si="19"/>
        <v>3.8491558949926244E-2</v>
      </c>
    </row>
    <row r="239" spans="1:19">
      <c r="A239" s="2" t="s">
        <v>295</v>
      </c>
      <c r="B239" s="2" t="s">
        <v>14</v>
      </c>
      <c r="C239" s="25">
        <v>45489</v>
      </c>
      <c r="D239" s="2" t="s">
        <v>19</v>
      </c>
      <c r="E239" s="2">
        <v>4725</v>
      </c>
      <c r="F239" s="2">
        <v>400</v>
      </c>
      <c r="G239" s="2">
        <v>362</v>
      </c>
      <c r="H239" s="3">
        <v>75600</v>
      </c>
      <c r="I239" s="2">
        <v>74927</v>
      </c>
      <c r="J239" s="3">
        <v>43</v>
      </c>
      <c r="K239" s="2" t="s">
        <v>50</v>
      </c>
      <c r="L239" s="2" t="s">
        <v>416</v>
      </c>
      <c r="M239" s="2" t="s">
        <v>416</v>
      </c>
      <c r="N239" s="2" t="s">
        <v>32</v>
      </c>
      <c r="O239" s="12">
        <f t="shared" si="15"/>
        <v>7.2579365079365079</v>
      </c>
      <c r="P239" t="str">
        <f t="shared" si="16"/>
        <v>Before</v>
      </c>
      <c r="Q239" s="11">
        <f t="shared" ca="1" si="17"/>
        <v>14.274175021633694</v>
      </c>
      <c r="R239" s="11">
        <f t="shared" ca="1" si="18"/>
        <v>14.695063144904083</v>
      </c>
      <c r="S239" s="35">
        <f t="shared" ca="1" si="19"/>
        <v>2.948598588937703E-2</v>
      </c>
    </row>
    <row r="240" spans="1:19">
      <c r="A240" s="2" t="s">
        <v>296</v>
      </c>
      <c r="B240" s="2" t="s">
        <v>23</v>
      </c>
      <c r="C240" s="25">
        <v>45712</v>
      </c>
      <c r="D240" s="2" t="s">
        <v>19</v>
      </c>
      <c r="E240" s="2">
        <v>4188</v>
      </c>
      <c r="F240" s="2">
        <v>942</v>
      </c>
      <c r="G240" s="2">
        <v>118</v>
      </c>
      <c r="H240" s="3">
        <v>20940</v>
      </c>
      <c r="I240" s="2">
        <v>20471</v>
      </c>
      <c r="J240" s="3">
        <v>102</v>
      </c>
      <c r="K240" s="2" t="s">
        <v>50</v>
      </c>
      <c r="L240" s="2" t="s">
        <v>416</v>
      </c>
      <c r="M240" s="2" t="s">
        <v>416</v>
      </c>
      <c r="O240" s="12">
        <f t="shared" si="15"/>
        <v>25.062082139446034</v>
      </c>
      <c r="P240" t="str">
        <f t="shared" si="16"/>
        <v>Before</v>
      </c>
      <c r="Q240" s="11">
        <f t="shared" ca="1" si="17"/>
        <v>14.39309431847602</v>
      </c>
      <c r="R240" s="11">
        <f t="shared" ca="1" si="18"/>
        <v>14.695063144904083</v>
      </c>
      <c r="S240" s="35">
        <f t="shared" ca="1" si="19"/>
        <v>2.0980118642065268E-2</v>
      </c>
    </row>
    <row r="241" spans="1:19">
      <c r="A241" s="2" t="s">
        <v>297</v>
      </c>
      <c r="B241" s="2" t="s">
        <v>14</v>
      </c>
      <c r="C241" s="25">
        <v>45530</v>
      </c>
      <c r="D241" s="2" t="s">
        <v>38</v>
      </c>
      <c r="E241" s="2">
        <v>929</v>
      </c>
      <c r="F241" s="2">
        <v>192</v>
      </c>
      <c r="G241" s="2">
        <v>322</v>
      </c>
      <c r="H241" s="3">
        <v>16722</v>
      </c>
      <c r="I241" s="2">
        <v>15996</v>
      </c>
      <c r="J241" s="3">
        <v>145</v>
      </c>
      <c r="K241" s="2" t="s">
        <v>31</v>
      </c>
      <c r="L241" s="2" t="s">
        <v>25</v>
      </c>
      <c r="M241" s="2" t="s">
        <v>386</v>
      </c>
      <c r="N241" s="2" t="s">
        <v>26</v>
      </c>
      <c r="O241" s="12">
        <f t="shared" si="15"/>
        <v>8.6293505561535699</v>
      </c>
      <c r="P241" t="str">
        <f t="shared" si="16"/>
        <v>Before</v>
      </c>
      <c r="Q241" s="11">
        <f t="shared" ca="1" si="17"/>
        <v>14.209146252597229</v>
      </c>
      <c r="R241" s="11">
        <f t="shared" ca="1" si="18"/>
        <v>14.695063144904083</v>
      </c>
      <c r="S241" s="35">
        <f t="shared" ca="1" si="19"/>
        <v>3.4197472787503687E-2</v>
      </c>
    </row>
    <row r="242" spans="1:19">
      <c r="A242" s="2" t="s">
        <v>298</v>
      </c>
      <c r="B242" s="2" t="s">
        <v>36</v>
      </c>
      <c r="C242" s="25">
        <v>45675</v>
      </c>
      <c r="D242" s="2" t="s">
        <v>29</v>
      </c>
      <c r="E242" s="2">
        <v>4321</v>
      </c>
      <c r="F242" s="2">
        <v>874</v>
      </c>
      <c r="G242" s="2">
        <v>172</v>
      </c>
      <c r="H242" s="3">
        <v>30247</v>
      </c>
      <c r="I242" s="2">
        <v>29254</v>
      </c>
      <c r="J242" s="3">
        <v>122</v>
      </c>
      <c r="K242" s="2" t="s">
        <v>25</v>
      </c>
      <c r="L242" s="2" t="s">
        <v>416</v>
      </c>
      <c r="M242" s="2" t="s">
        <v>416</v>
      </c>
      <c r="N242" s="2" t="s">
        <v>32</v>
      </c>
      <c r="O242" s="12">
        <f t="shared" si="15"/>
        <v>17.74390848679208</v>
      </c>
      <c r="P242" t="str">
        <f t="shared" si="16"/>
        <v>Before</v>
      </c>
      <c r="Q242" s="11">
        <f t="shared" ca="1" si="17"/>
        <v>14.307037405166415</v>
      </c>
      <c r="R242" s="11">
        <f t="shared" ca="1" si="18"/>
        <v>14.695063144904083</v>
      </c>
      <c r="S242" s="35">
        <f t="shared" ca="1" si="19"/>
        <v>2.7121320001410452E-2</v>
      </c>
    </row>
    <row r="243" spans="1:19">
      <c r="A243" s="2" t="s">
        <v>299</v>
      </c>
      <c r="B243" s="2" t="s">
        <v>36</v>
      </c>
      <c r="C243" s="25">
        <v>45480</v>
      </c>
      <c r="D243" s="2" t="s">
        <v>15</v>
      </c>
      <c r="E243" s="2">
        <v>4767</v>
      </c>
      <c r="F243" s="2">
        <v>190</v>
      </c>
      <c r="G243" s="2">
        <v>340</v>
      </c>
      <c r="H243" s="3">
        <v>28602</v>
      </c>
      <c r="I243" s="2">
        <v>28044</v>
      </c>
      <c r="J243" s="3">
        <v>210</v>
      </c>
      <c r="K243" s="2" t="s">
        <v>31</v>
      </c>
      <c r="L243" s="2" t="s">
        <v>416</v>
      </c>
      <c r="M243" s="2" t="s">
        <v>416</v>
      </c>
      <c r="N243" s="2" t="s">
        <v>26</v>
      </c>
      <c r="O243" s="12">
        <f t="shared" si="15"/>
        <v>18.519683938186141</v>
      </c>
      <c r="P243" t="str">
        <f t="shared" si="16"/>
        <v>During</v>
      </c>
      <c r="Q243" s="11">
        <f t="shared" ca="1" si="17"/>
        <v>14.245664707280243</v>
      </c>
      <c r="R243" s="11">
        <f t="shared" ca="1" si="18"/>
        <v>14.695063144904083</v>
      </c>
      <c r="S243" s="35">
        <f t="shared" ca="1" si="19"/>
        <v>3.1546329838450772E-2</v>
      </c>
    </row>
    <row r="244" spans="1:19">
      <c r="A244" s="2" t="s">
        <v>300</v>
      </c>
      <c r="B244" s="2" t="s">
        <v>14</v>
      </c>
      <c r="C244" s="25">
        <v>45722</v>
      </c>
      <c r="D244" s="2" t="s">
        <v>43</v>
      </c>
      <c r="E244" s="2">
        <v>3592</v>
      </c>
      <c r="F244" s="2">
        <v>911</v>
      </c>
      <c r="G244" s="2">
        <v>375</v>
      </c>
      <c r="H244" s="3">
        <v>50288</v>
      </c>
      <c r="I244" s="2">
        <v>49490</v>
      </c>
      <c r="J244" s="3">
        <v>32</v>
      </c>
      <c r="K244" s="2" t="s">
        <v>50</v>
      </c>
      <c r="L244" s="2" t="s">
        <v>416</v>
      </c>
      <c r="M244" s="2" t="s">
        <v>416</v>
      </c>
      <c r="N244" s="2" t="s">
        <v>32</v>
      </c>
      <c r="O244" s="12">
        <f t="shared" si="15"/>
        <v>9.7001272669424115</v>
      </c>
      <c r="P244" t="str">
        <f t="shared" si="16"/>
        <v>Before</v>
      </c>
      <c r="Q244" s="11">
        <f t="shared" ca="1" si="17"/>
        <v>14.245664707280243</v>
      </c>
      <c r="R244" s="11">
        <f t="shared" ca="1" si="18"/>
        <v>12.782752748263055</v>
      </c>
      <c r="S244" s="35">
        <f t="shared" ca="1" si="19"/>
        <v>-0.10269173036689308</v>
      </c>
    </row>
    <row r="245" spans="1:19">
      <c r="A245" s="2" t="s">
        <v>301</v>
      </c>
      <c r="B245" s="2" t="s">
        <v>23</v>
      </c>
      <c r="C245" s="25">
        <v>45590</v>
      </c>
      <c r="D245" s="2" t="s">
        <v>58</v>
      </c>
      <c r="E245" s="2">
        <v>4661</v>
      </c>
      <c r="F245" s="2">
        <v>935</v>
      </c>
      <c r="G245" s="2">
        <v>433</v>
      </c>
      <c r="H245" s="3">
        <v>23305</v>
      </c>
      <c r="I245" s="2">
        <v>22583</v>
      </c>
      <c r="J245" s="3">
        <v>63</v>
      </c>
      <c r="K245" s="2" t="s">
        <v>50</v>
      </c>
      <c r="L245" s="2" t="s">
        <v>416</v>
      </c>
      <c r="M245" s="2" t="s">
        <v>416</v>
      </c>
      <c r="N245" s="2" t="s">
        <v>26</v>
      </c>
      <c r="O245" s="12">
        <f t="shared" si="15"/>
        <v>25.869984981763572</v>
      </c>
      <c r="P245" t="str">
        <f t="shared" si="16"/>
        <v>Before</v>
      </c>
      <c r="Q245" s="11">
        <f t="shared" ca="1" si="17"/>
        <v>14.328310842559112</v>
      </c>
      <c r="R245" s="11">
        <f t="shared" ca="1" si="18"/>
        <v>12.782752748263055</v>
      </c>
      <c r="S245" s="35">
        <f t="shared" ca="1" si="19"/>
        <v>-0.10786743191704878</v>
      </c>
    </row>
    <row r="246" spans="1:19">
      <c r="A246" s="2" t="s">
        <v>302</v>
      </c>
      <c r="B246" s="2" t="s">
        <v>36</v>
      </c>
      <c r="C246" s="25">
        <v>45669</v>
      </c>
      <c r="D246" s="2" t="s">
        <v>15</v>
      </c>
      <c r="E246" s="2">
        <v>4134</v>
      </c>
      <c r="F246" s="2">
        <v>824</v>
      </c>
      <c r="G246" s="2">
        <v>99</v>
      </c>
      <c r="H246" s="3">
        <v>41340</v>
      </c>
      <c r="I246" s="2">
        <v>41050</v>
      </c>
      <c r="J246" s="3">
        <v>177</v>
      </c>
      <c r="K246" s="2" t="s">
        <v>31</v>
      </c>
      <c r="L246" s="2" t="s">
        <v>416</v>
      </c>
      <c r="M246" s="2" t="s">
        <v>416</v>
      </c>
      <c r="N246" s="2" t="s">
        <v>17</v>
      </c>
      <c r="O246" s="12">
        <f t="shared" si="15"/>
        <v>12.232704402515724</v>
      </c>
      <c r="P246" t="str">
        <f t="shared" si="16"/>
        <v>Before</v>
      </c>
      <c r="Q246" s="11">
        <f t="shared" ca="1" si="17"/>
        <v>14.114576136277549</v>
      </c>
      <c r="R246" s="11">
        <f t="shared" ca="1" si="18"/>
        <v>12.782752748263055</v>
      </c>
      <c r="S246" s="35">
        <f t="shared" ca="1" si="19"/>
        <v>-9.4358015087071298E-2</v>
      </c>
    </row>
    <row r="247" spans="1:19">
      <c r="A247" s="2" t="s">
        <v>303</v>
      </c>
      <c r="B247" s="2" t="s">
        <v>36</v>
      </c>
      <c r="C247" s="25">
        <v>45576</v>
      </c>
      <c r="D247" s="2" t="s">
        <v>43</v>
      </c>
      <c r="E247" s="2">
        <v>400</v>
      </c>
      <c r="F247" s="2">
        <v>680</v>
      </c>
      <c r="G247" s="2">
        <v>434</v>
      </c>
      <c r="H247" s="3">
        <v>6400</v>
      </c>
      <c r="I247" s="2">
        <v>5472</v>
      </c>
      <c r="J247" s="3">
        <v>160</v>
      </c>
      <c r="K247" s="2" t="s">
        <v>50</v>
      </c>
      <c r="L247" s="2" t="s">
        <v>416</v>
      </c>
      <c r="M247" s="2" t="s">
        <v>416</v>
      </c>
      <c r="N247" s="2" t="s">
        <v>21</v>
      </c>
      <c r="O247" s="12">
        <f t="shared" si="15"/>
        <v>23.65625</v>
      </c>
      <c r="P247" t="str">
        <f t="shared" si="16"/>
        <v>Before</v>
      </c>
      <c r="Q247" s="11">
        <f t="shared" ca="1" si="17"/>
        <v>14.150083150122111</v>
      </c>
      <c r="R247" s="11">
        <f t="shared" ca="1" si="18"/>
        <v>12.782752748263055</v>
      </c>
      <c r="S247" s="35">
        <f t="shared" ca="1" si="19"/>
        <v>-9.6630555972899407E-2</v>
      </c>
    </row>
    <row r="248" spans="1:19">
      <c r="A248" s="2" t="s">
        <v>304</v>
      </c>
      <c r="B248" s="2" t="s">
        <v>36</v>
      </c>
      <c r="C248" s="25">
        <v>45531</v>
      </c>
      <c r="D248" s="2" t="s">
        <v>15</v>
      </c>
      <c r="E248" s="2">
        <v>3960</v>
      </c>
      <c r="F248" s="2">
        <v>266</v>
      </c>
      <c r="G248" s="2">
        <v>8</v>
      </c>
      <c r="H248" s="3">
        <v>35640</v>
      </c>
      <c r="I248" s="2">
        <v>34850</v>
      </c>
      <c r="J248" s="3">
        <v>208</v>
      </c>
      <c r="K248" s="2" t="s">
        <v>50</v>
      </c>
      <c r="L248" s="2" t="s">
        <v>31</v>
      </c>
      <c r="M248" s="2" t="s">
        <v>387</v>
      </c>
      <c r="O248" s="12">
        <f t="shared" si="15"/>
        <v>11.879910213243546</v>
      </c>
      <c r="P248" t="str">
        <f t="shared" si="16"/>
        <v>Before</v>
      </c>
      <c r="Q248" s="11">
        <f t="shared" ca="1" si="17"/>
        <v>13.967272249162921</v>
      </c>
      <c r="R248" s="11">
        <f t="shared" ca="1" si="18"/>
        <v>12.782752748263055</v>
      </c>
      <c r="S248" s="35">
        <f t="shared" ca="1" si="19"/>
        <v>-8.4806788309782929E-2</v>
      </c>
    </row>
    <row r="249" spans="1:19">
      <c r="A249" s="2" t="s">
        <v>305</v>
      </c>
      <c r="B249" s="2" t="s">
        <v>36</v>
      </c>
      <c r="C249" s="25">
        <v>45690</v>
      </c>
      <c r="D249" s="2" t="s">
        <v>29</v>
      </c>
      <c r="E249" s="2">
        <v>886</v>
      </c>
      <c r="F249" s="2">
        <v>126</v>
      </c>
      <c r="G249" s="2">
        <v>153</v>
      </c>
      <c r="H249" s="3">
        <v>4430</v>
      </c>
      <c r="I249" s="2">
        <v>4037</v>
      </c>
      <c r="J249" s="3">
        <v>212</v>
      </c>
      <c r="K249" s="2" t="s">
        <v>31</v>
      </c>
      <c r="L249" s="2" t="s">
        <v>416</v>
      </c>
      <c r="M249" s="2" t="s">
        <v>416</v>
      </c>
      <c r="O249" s="12">
        <f t="shared" si="15"/>
        <v>26.297968397291193</v>
      </c>
      <c r="P249" t="str">
        <f t="shared" si="16"/>
        <v>Before</v>
      </c>
      <c r="Q249" s="11">
        <f t="shared" ca="1" si="17"/>
        <v>14.008200916533887</v>
      </c>
      <c r="R249" s="11">
        <f t="shared" ca="1" si="18"/>
        <v>12.782752748263055</v>
      </c>
      <c r="S249" s="35">
        <f t="shared" ca="1" si="19"/>
        <v>-8.7480767556984057E-2</v>
      </c>
    </row>
    <row r="250" spans="1:19">
      <c r="A250" s="2" t="s">
        <v>306</v>
      </c>
      <c r="B250" s="2" t="s">
        <v>14</v>
      </c>
      <c r="C250" s="25">
        <v>45491</v>
      </c>
      <c r="D250" s="2" t="s">
        <v>43</v>
      </c>
      <c r="E250" s="2">
        <v>827</v>
      </c>
      <c r="F250" s="2">
        <v>77</v>
      </c>
      <c r="G250" s="2">
        <v>402</v>
      </c>
      <c r="H250" s="3">
        <v>14886</v>
      </c>
      <c r="I250" s="2">
        <v>14129</v>
      </c>
      <c r="J250" s="3">
        <v>254</v>
      </c>
      <c r="K250" s="2" t="s">
        <v>31</v>
      </c>
      <c r="L250" s="2" t="s">
        <v>416</v>
      </c>
      <c r="M250" s="2" t="s">
        <v>416</v>
      </c>
      <c r="N250" s="2" t="s">
        <v>21</v>
      </c>
      <c r="O250" s="12">
        <f t="shared" si="15"/>
        <v>8.7733440816874904</v>
      </c>
      <c r="P250" t="str">
        <f t="shared" si="16"/>
        <v>Before</v>
      </c>
      <c r="Q250" s="11">
        <f t="shared" ca="1" si="17"/>
        <v>13.762405566918742</v>
      </c>
      <c r="R250" s="11">
        <f t="shared" ca="1" si="18"/>
        <v>12.782752748263055</v>
      </c>
      <c r="S250" s="35">
        <f t="shared" ca="1" si="19"/>
        <v>-7.1183254547483948E-2</v>
      </c>
    </row>
    <row r="251" spans="1:19">
      <c r="A251" s="2" t="s">
        <v>307</v>
      </c>
      <c r="B251" s="2" t="s">
        <v>36</v>
      </c>
      <c r="C251" s="25">
        <v>45465</v>
      </c>
      <c r="D251" s="2" t="s">
        <v>15</v>
      </c>
      <c r="E251" s="2">
        <v>3813</v>
      </c>
      <c r="F251" s="2">
        <v>935</v>
      </c>
      <c r="G251" s="2">
        <v>274</v>
      </c>
      <c r="H251" s="3">
        <v>68634</v>
      </c>
      <c r="I251" s="2">
        <v>68488</v>
      </c>
      <c r="J251" s="3">
        <v>251</v>
      </c>
      <c r="K251" s="2" t="s">
        <v>50</v>
      </c>
      <c r="L251" s="2" t="s">
        <v>416</v>
      </c>
      <c r="M251" s="2" t="s">
        <v>416</v>
      </c>
      <c r="O251" s="12">
        <f t="shared" si="15"/>
        <v>7.3170731707317067</v>
      </c>
      <c r="P251" t="str">
        <f t="shared" si="16"/>
        <v>During</v>
      </c>
      <c r="Q251" s="11">
        <f t="shared" ca="1" si="17"/>
        <v>13.864223148249991</v>
      </c>
      <c r="R251" s="11">
        <f t="shared" ca="1" si="18"/>
        <v>12.782752748263055</v>
      </c>
      <c r="S251" s="35">
        <f t="shared" ca="1" si="19"/>
        <v>-7.8004399411548991E-2</v>
      </c>
    </row>
    <row r="252" spans="1:19">
      <c r="A252" s="2" t="s">
        <v>308</v>
      </c>
      <c r="B252" s="2" t="s">
        <v>28</v>
      </c>
      <c r="C252" s="25">
        <v>45743</v>
      </c>
      <c r="D252" s="2" t="s">
        <v>38</v>
      </c>
      <c r="E252" s="2">
        <v>1377</v>
      </c>
      <c r="F252" s="2">
        <v>796</v>
      </c>
      <c r="G252" s="2">
        <v>387</v>
      </c>
      <c r="H252" s="3">
        <v>22032</v>
      </c>
      <c r="I252" s="2">
        <v>21869</v>
      </c>
      <c r="J252" s="3">
        <v>189</v>
      </c>
      <c r="K252" s="2" t="s">
        <v>50</v>
      </c>
      <c r="L252" s="2" t="s">
        <v>416</v>
      </c>
      <c r="M252" s="2" t="s">
        <v>416</v>
      </c>
      <c r="O252" s="12">
        <f t="shared" si="15"/>
        <v>11.619462599854756</v>
      </c>
      <c r="P252" t="str">
        <f t="shared" si="16"/>
        <v>Before</v>
      </c>
      <c r="Q252" s="11">
        <f t="shared" ca="1" si="17"/>
        <v>13.864223148249991</v>
      </c>
      <c r="R252" s="11">
        <f t="shared" ca="1" si="18"/>
        <v>18.248432325794404</v>
      </c>
      <c r="S252" s="35">
        <f t="shared" ca="1" si="19"/>
        <v>0.31622465468595762</v>
      </c>
    </row>
    <row r="253" spans="1:19">
      <c r="A253" s="2" t="s">
        <v>309</v>
      </c>
      <c r="B253" s="2" t="s">
        <v>36</v>
      </c>
      <c r="C253" s="25">
        <v>45775</v>
      </c>
      <c r="D253" s="2" t="s">
        <v>38</v>
      </c>
      <c r="E253" s="2">
        <v>2089</v>
      </c>
      <c r="F253" s="2">
        <v>476</v>
      </c>
      <c r="G253" s="2">
        <v>69</v>
      </c>
      <c r="H253" s="3">
        <v>16712</v>
      </c>
      <c r="I253" s="2">
        <v>16309</v>
      </c>
      <c r="J253" s="3">
        <v>64</v>
      </c>
      <c r="K253" s="2" t="s">
        <v>50</v>
      </c>
      <c r="L253" s="2" t="s">
        <v>416</v>
      </c>
      <c r="M253" s="2" t="s">
        <v>416</v>
      </c>
      <c r="N253" s="2" t="s">
        <v>26</v>
      </c>
      <c r="O253" s="12">
        <f t="shared" si="15"/>
        <v>15.761129727142173</v>
      </c>
      <c r="P253" t="str">
        <f t="shared" si="16"/>
        <v>Before</v>
      </c>
      <c r="Q253" s="11">
        <f t="shared" ca="1" si="17"/>
        <v>13.910988993008226</v>
      </c>
      <c r="R253" s="11">
        <f t="shared" ca="1" si="18"/>
        <v>18.248432325794404</v>
      </c>
      <c r="S253" s="35">
        <f t="shared" ca="1" si="19"/>
        <v>0.31179978181035234</v>
      </c>
    </row>
    <row r="254" spans="1:19">
      <c r="A254" s="2" t="s">
        <v>310</v>
      </c>
      <c r="B254" s="2" t="s">
        <v>14</v>
      </c>
      <c r="C254" s="25">
        <v>45507</v>
      </c>
      <c r="D254" s="2" t="s">
        <v>15</v>
      </c>
      <c r="E254" s="2">
        <v>3791</v>
      </c>
      <c r="F254" s="2">
        <v>593</v>
      </c>
      <c r="G254" s="2">
        <v>228</v>
      </c>
      <c r="H254" s="3">
        <v>53074</v>
      </c>
      <c r="I254" s="2">
        <v>52613</v>
      </c>
      <c r="J254" s="3">
        <v>205</v>
      </c>
      <c r="K254" s="2" t="s">
        <v>31</v>
      </c>
      <c r="L254" s="2" t="s">
        <v>416</v>
      </c>
      <c r="M254" s="2" t="s">
        <v>416</v>
      </c>
      <c r="O254" s="12">
        <f t="shared" si="15"/>
        <v>8.6897539284772201</v>
      </c>
      <c r="P254" t="str">
        <f t="shared" si="16"/>
        <v>Before</v>
      </c>
      <c r="Q254" s="11">
        <f t="shared" ca="1" si="17"/>
        <v>13.871624296537293</v>
      </c>
      <c r="R254" s="11">
        <f t="shared" ca="1" si="18"/>
        <v>18.248432325794404</v>
      </c>
      <c r="S254" s="35">
        <f t="shared" ca="1" si="19"/>
        <v>0.31552238841630625</v>
      </c>
    </row>
    <row r="255" spans="1:19">
      <c r="A255" s="2" t="s">
        <v>311</v>
      </c>
      <c r="B255" s="2" t="s">
        <v>14</v>
      </c>
      <c r="C255" s="25">
        <v>45671</v>
      </c>
      <c r="D255" s="2" t="s">
        <v>43</v>
      </c>
      <c r="E255" s="2">
        <v>2692</v>
      </c>
      <c r="F255" s="2">
        <v>115</v>
      </c>
      <c r="G255" s="2">
        <v>64</v>
      </c>
      <c r="H255" s="3">
        <v>21536</v>
      </c>
      <c r="I255" s="2">
        <v>21120</v>
      </c>
      <c r="J255" s="3">
        <v>224</v>
      </c>
      <c r="K255" s="2" t="s">
        <v>50</v>
      </c>
      <c r="L255" s="2" t="s">
        <v>416</v>
      </c>
      <c r="M255" s="2" t="s">
        <v>416</v>
      </c>
      <c r="N255" s="2" t="s">
        <v>21</v>
      </c>
      <c r="O255" s="12">
        <f t="shared" si="15"/>
        <v>13.331166419019317</v>
      </c>
      <c r="P255" t="str">
        <f t="shared" si="16"/>
        <v>Before</v>
      </c>
      <c r="Q255" s="11">
        <f t="shared" ca="1" si="17"/>
        <v>13.984273652364687</v>
      </c>
      <c r="R255" s="11">
        <f t="shared" ca="1" si="18"/>
        <v>18.248432325794404</v>
      </c>
      <c r="S255" s="35">
        <f t="shared" ca="1" si="19"/>
        <v>0.30492528817960202</v>
      </c>
    </row>
    <row r="256" spans="1:19">
      <c r="A256" s="2" t="s">
        <v>312</v>
      </c>
      <c r="B256" s="2" t="s">
        <v>36</v>
      </c>
      <c r="C256" s="25">
        <v>45750</v>
      </c>
      <c r="D256" s="2" t="s">
        <v>29</v>
      </c>
      <c r="E256" s="2">
        <v>3767</v>
      </c>
      <c r="F256" s="2">
        <v>514</v>
      </c>
      <c r="G256" s="2">
        <v>238</v>
      </c>
      <c r="H256" s="3">
        <v>37670</v>
      </c>
      <c r="I256" s="2">
        <v>36807</v>
      </c>
      <c r="J256" s="3">
        <v>226</v>
      </c>
      <c r="K256" s="2" t="s">
        <v>50</v>
      </c>
      <c r="L256" s="2" t="s">
        <v>416</v>
      </c>
      <c r="M256" s="2" t="s">
        <v>416</v>
      </c>
      <c r="N256" s="2" t="s">
        <v>32</v>
      </c>
      <c r="O256" s="12">
        <f t="shared" si="15"/>
        <v>11.996283514733209</v>
      </c>
      <c r="P256" t="str">
        <f t="shared" si="16"/>
        <v>Before</v>
      </c>
      <c r="Q256" s="11">
        <f t="shared" ca="1" si="17"/>
        <v>13.998787146439026</v>
      </c>
      <c r="R256" s="11">
        <f t="shared" ca="1" si="18"/>
        <v>18.248432325794404</v>
      </c>
      <c r="S256" s="35">
        <f t="shared" ca="1" si="19"/>
        <v>0.30357238344297499</v>
      </c>
    </row>
    <row r="257" spans="1:19">
      <c r="A257" s="2" t="s">
        <v>313</v>
      </c>
      <c r="B257" s="2" t="s">
        <v>23</v>
      </c>
      <c r="C257" s="25">
        <v>45553</v>
      </c>
      <c r="D257" s="2" t="s">
        <v>38</v>
      </c>
      <c r="E257" s="2">
        <v>2143</v>
      </c>
      <c r="F257" s="2">
        <v>12</v>
      </c>
      <c r="G257" s="2">
        <v>204</v>
      </c>
      <c r="H257" s="3">
        <v>40717</v>
      </c>
      <c r="I257" s="2">
        <v>40125</v>
      </c>
      <c r="J257" s="3">
        <v>248</v>
      </c>
      <c r="K257" s="2" t="s">
        <v>31</v>
      </c>
      <c r="L257" s="2" t="s">
        <v>416</v>
      </c>
      <c r="M257" s="2" t="s">
        <v>416</v>
      </c>
      <c r="N257" s="2" t="s">
        <v>21</v>
      </c>
      <c r="O257" s="12">
        <f t="shared" si="15"/>
        <v>5.793648844463001</v>
      </c>
      <c r="P257" t="str">
        <f t="shared" si="16"/>
        <v>Before</v>
      </c>
      <c r="Q257" s="11">
        <f t="shared" ca="1" si="17"/>
        <v>14.04429859261416</v>
      </c>
      <c r="R257" s="11">
        <f t="shared" ca="1" si="18"/>
        <v>18.248432325794404</v>
      </c>
      <c r="S257" s="35">
        <f t="shared" ca="1" si="19"/>
        <v>0.29934807391457635</v>
      </c>
    </row>
    <row r="258" spans="1:19">
      <c r="A258" s="2" t="s">
        <v>314</v>
      </c>
      <c r="B258" s="2" t="s">
        <v>36</v>
      </c>
      <c r="C258" s="25">
        <v>45753</v>
      </c>
      <c r="D258" s="2" t="s">
        <v>43</v>
      </c>
      <c r="E258" s="2">
        <v>3090</v>
      </c>
      <c r="F258" s="2">
        <v>697</v>
      </c>
      <c r="G258" s="2">
        <v>164</v>
      </c>
      <c r="H258" s="3">
        <v>49440</v>
      </c>
      <c r="I258" s="2">
        <v>48524</v>
      </c>
      <c r="J258" s="3">
        <v>25</v>
      </c>
      <c r="K258" s="2" t="s">
        <v>31</v>
      </c>
      <c r="L258" s="2" t="s">
        <v>31</v>
      </c>
      <c r="M258" s="2" t="s">
        <v>387</v>
      </c>
      <c r="N258" s="2" t="s">
        <v>21</v>
      </c>
      <c r="O258" s="12">
        <f t="shared" si="15"/>
        <v>7.991504854368932</v>
      </c>
      <c r="P258" t="str">
        <f t="shared" si="16"/>
        <v>Before</v>
      </c>
      <c r="Q258" s="11">
        <f t="shared" ca="1" si="17"/>
        <v>14.236174168152557</v>
      </c>
      <c r="R258" s="11">
        <f t="shared" ca="1" si="18"/>
        <v>18.248432325794404</v>
      </c>
      <c r="S258" s="35">
        <f t="shared" ca="1" si="19"/>
        <v>0.28183542223145774</v>
      </c>
    </row>
    <row r="259" spans="1:19">
      <c r="A259" s="2" t="s">
        <v>315</v>
      </c>
      <c r="B259" s="2" t="s">
        <v>28</v>
      </c>
      <c r="C259" s="25">
        <v>45509</v>
      </c>
      <c r="D259" s="2" t="s">
        <v>29</v>
      </c>
      <c r="E259" s="2">
        <v>3601</v>
      </c>
      <c r="F259" s="2">
        <v>695</v>
      </c>
      <c r="G259" s="2">
        <v>75</v>
      </c>
      <c r="H259" s="3">
        <v>21606</v>
      </c>
      <c r="I259" s="2">
        <v>21454</v>
      </c>
      <c r="J259" s="3">
        <v>172</v>
      </c>
      <c r="K259" s="2" t="s">
        <v>31</v>
      </c>
      <c r="L259" s="2" t="s">
        <v>416</v>
      </c>
      <c r="M259" s="2" t="s">
        <v>416</v>
      </c>
      <c r="N259" s="2" t="s">
        <v>21</v>
      </c>
      <c r="O259" s="12">
        <f t="shared" ref="O259:O301" si="20">((E259+F259+G259)/H259)*100</f>
        <v>20.230491530130521</v>
      </c>
      <c r="P259" t="str">
        <f t="shared" ref="P259:P301" si="21">IF(AND(C259&gt;=$W$2,C259&lt;=$X$2),"During","Before")</f>
        <v>Before</v>
      </c>
      <c r="Q259" s="11">
        <f t="shared" ref="Q259:Q301" ca="1" si="22">AVERAGEIF(P259:P558,"Before",O259)</f>
        <v>14.384856770861692</v>
      </c>
      <c r="R259" s="11">
        <f t="shared" ref="R259:R301" ca="1" si="23">AVERAGEIF(P259:P558,"During",O259)</f>
        <v>18.248432325794404</v>
      </c>
      <c r="S259" s="35">
        <f t="shared" ref="S259:S301" ca="1" si="24">(R259-Q259)/Q259</f>
        <v>0.26858630686951729</v>
      </c>
    </row>
    <row r="260" spans="1:19">
      <c r="A260" s="2" t="s">
        <v>316</v>
      </c>
      <c r="B260" s="2" t="s">
        <v>36</v>
      </c>
      <c r="C260" s="25">
        <v>45698</v>
      </c>
      <c r="D260" s="2" t="s">
        <v>19</v>
      </c>
      <c r="E260" s="2">
        <v>562</v>
      </c>
      <c r="F260" s="2">
        <v>158</v>
      </c>
      <c r="G260" s="2">
        <v>149</v>
      </c>
      <c r="H260" s="3">
        <v>3372</v>
      </c>
      <c r="I260" s="2">
        <v>2940</v>
      </c>
      <c r="J260" s="3">
        <v>93</v>
      </c>
      <c r="K260" s="2" t="s">
        <v>25</v>
      </c>
      <c r="L260" s="2" t="s">
        <v>416</v>
      </c>
      <c r="M260" s="2" t="s">
        <v>416</v>
      </c>
      <c r="N260" s="2" t="s">
        <v>17</v>
      </c>
      <c r="O260" s="12">
        <f t="shared" si="20"/>
        <v>25.771055753262157</v>
      </c>
      <c r="P260" t="str">
        <f t="shared" si="21"/>
        <v>Before</v>
      </c>
      <c r="Q260" s="11">
        <f t="shared" ca="1" si="22"/>
        <v>14.242280313318547</v>
      </c>
      <c r="R260" s="11">
        <f t="shared" ca="1" si="23"/>
        <v>18.248432325794404</v>
      </c>
      <c r="S260" s="35">
        <f t="shared" ca="1" si="24"/>
        <v>0.28128585622131996</v>
      </c>
    </row>
    <row r="261" spans="1:19">
      <c r="A261" s="2" t="s">
        <v>317</v>
      </c>
      <c r="B261" s="2" t="s">
        <v>28</v>
      </c>
      <c r="C261" s="25">
        <v>45700</v>
      </c>
      <c r="D261" s="2" t="s">
        <v>29</v>
      </c>
      <c r="E261" s="2">
        <v>4332</v>
      </c>
      <c r="F261" s="2">
        <v>771</v>
      </c>
      <c r="G261" s="2">
        <v>219</v>
      </c>
      <c r="H261" s="3">
        <v>60648</v>
      </c>
      <c r="I261" s="2">
        <v>60397</v>
      </c>
      <c r="J261" s="3">
        <v>10</v>
      </c>
      <c r="K261" s="2" t="s">
        <v>25</v>
      </c>
      <c r="L261" s="2" t="s">
        <v>31</v>
      </c>
      <c r="M261" s="2" t="s">
        <v>387</v>
      </c>
      <c r="N261" s="2" t="s">
        <v>26</v>
      </c>
      <c r="O261" s="12">
        <f t="shared" si="20"/>
        <v>8.775227542540561</v>
      </c>
      <c r="P261" t="str">
        <f t="shared" si="21"/>
        <v>Before</v>
      </c>
      <c r="Q261" s="11">
        <f t="shared" ca="1" si="22"/>
        <v>13.954060927319958</v>
      </c>
      <c r="R261" s="11">
        <f t="shared" ca="1" si="23"/>
        <v>18.248432325794404</v>
      </c>
      <c r="S261" s="35">
        <f t="shared" ca="1" si="24"/>
        <v>0.30775065558633985</v>
      </c>
    </row>
    <row r="262" spans="1:19">
      <c r="A262" s="2" t="s">
        <v>318</v>
      </c>
      <c r="B262" s="2" t="s">
        <v>28</v>
      </c>
      <c r="C262" s="25">
        <v>45592</v>
      </c>
      <c r="D262" s="2" t="s">
        <v>43</v>
      </c>
      <c r="E262" s="2">
        <v>4853</v>
      </c>
      <c r="F262" s="2">
        <v>837</v>
      </c>
      <c r="G262" s="2">
        <v>340</v>
      </c>
      <c r="H262" s="3">
        <v>72795</v>
      </c>
      <c r="I262" s="2">
        <v>72237</v>
      </c>
      <c r="J262" s="3">
        <v>170</v>
      </c>
      <c r="K262" s="2" t="s">
        <v>31</v>
      </c>
      <c r="L262" s="2" t="s">
        <v>416</v>
      </c>
      <c r="M262" s="2" t="s">
        <v>416</v>
      </c>
      <c r="N262" s="2" t="s">
        <v>17</v>
      </c>
      <c r="O262" s="12">
        <f t="shared" si="20"/>
        <v>8.2835359571399128</v>
      </c>
      <c r="P262" t="str">
        <f t="shared" si="21"/>
        <v>Before</v>
      </c>
      <c r="Q262" s="11">
        <f t="shared" ca="1" si="22"/>
        <v>14.086851526929685</v>
      </c>
      <c r="R262" s="11">
        <f t="shared" ca="1" si="23"/>
        <v>18.248432325794404</v>
      </c>
      <c r="S262" s="35">
        <f t="shared" ca="1" si="24"/>
        <v>0.29542306106577959</v>
      </c>
    </row>
    <row r="263" spans="1:19">
      <c r="A263" s="2" t="s">
        <v>319</v>
      </c>
      <c r="B263" s="2" t="s">
        <v>23</v>
      </c>
      <c r="C263" s="25">
        <v>45675</v>
      </c>
      <c r="D263" s="2" t="s">
        <v>43</v>
      </c>
      <c r="E263" s="2">
        <v>1206</v>
      </c>
      <c r="F263" s="2">
        <v>238</v>
      </c>
      <c r="G263" s="2">
        <v>36</v>
      </c>
      <c r="H263" s="3">
        <v>9648</v>
      </c>
      <c r="I263" s="2">
        <v>9417</v>
      </c>
      <c r="J263" s="3">
        <v>237</v>
      </c>
      <c r="K263" s="2" t="s">
        <v>25</v>
      </c>
      <c r="L263" s="2" t="s">
        <v>416</v>
      </c>
      <c r="M263" s="2" t="s">
        <v>416</v>
      </c>
      <c r="O263" s="12">
        <f t="shared" si="20"/>
        <v>15.339966832504146</v>
      </c>
      <c r="P263" t="str">
        <f t="shared" si="21"/>
        <v>Before</v>
      </c>
      <c r="Q263" s="11">
        <f t="shared" ca="1" si="22"/>
        <v>14.239570357713626</v>
      </c>
      <c r="R263" s="11">
        <f t="shared" ca="1" si="23"/>
        <v>18.248432325794404</v>
      </c>
      <c r="S263" s="35">
        <f t="shared" ca="1" si="24"/>
        <v>0.28152969979948606</v>
      </c>
    </row>
    <row r="264" spans="1:19">
      <c r="A264" s="2" t="s">
        <v>320</v>
      </c>
      <c r="B264" s="2" t="s">
        <v>28</v>
      </c>
      <c r="C264" s="25">
        <v>45524</v>
      </c>
      <c r="D264" s="2" t="s">
        <v>15</v>
      </c>
      <c r="E264" s="2">
        <v>2603</v>
      </c>
      <c r="F264" s="2">
        <v>690</v>
      </c>
      <c r="G264" s="2">
        <v>205</v>
      </c>
      <c r="H264" s="3">
        <v>13015</v>
      </c>
      <c r="I264" s="2">
        <v>12130</v>
      </c>
      <c r="J264" s="3">
        <v>20</v>
      </c>
      <c r="K264" s="2" t="s">
        <v>50</v>
      </c>
      <c r="L264" s="2" t="s">
        <v>416</v>
      </c>
      <c r="M264" s="2" t="s">
        <v>416</v>
      </c>
      <c r="N264" s="2" t="s">
        <v>21</v>
      </c>
      <c r="O264" s="12">
        <f t="shared" si="20"/>
        <v>26.876680752977332</v>
      </c>
      <c r="P264" t="str">
        <f t="shared" si="21"/>
        <v>Before</v>
      </c>
      <c r="Q264" s="11">
        <f t="shared" ca="1" si="22"/>
        <v>14.209829912449019</v>
      </c>
      <c r="R264" s="11">
        <f t="shared" ca="1" si="23"/>
        <v>18.248432325794404</v>
      </c>
      <c r="S264" s="35">
        <f t="shared" ca="1" si="24"/>
        <v>0.28421187573872553</v>
      </c>
    </row>
    <row r="265" spans="1:19">
      <c r="A265" s="2" t="s">
        <v>321</v>
      </c>
      <c r="B265" s="2" t="s">
        <v>14</v>
      </c>
      <c r="C265" s="25">
        <v>45687</v>
      </c>
      <c r="D265" s="2" t="s">
        <v>43</v>
      </c>
      <c r="E265" s="2">
        <v>59</v>
      </c>
      <c r="F265" s="2">
        <v>163</v>
      </c>
      <c r="G265" s="2">
        <v>93</v>
      </c>
      <c r="H265" s="3">
        <v>590</v>
      </c>
      <c r="I265" s="2">
        <v>475</v>
      </c>
      <c r="J265" s="3">
        <v>293</v>
      </c>
      <c r="K265" s="2" t="s">
        <v>25</v>
      </c>
      <c r="L265" s="2" t="s">
        <v>416</v>
      </c>
      <c r="M265" s="2" t="s">
        <v>416</v>
      </c>
      <c r="N265" s="2" t="s">
        <v>21</v>
      </c>
      <c r="O265" s="12">
        <f t="shared" si="20"/>
        <v>53.389830508474581</v>
      </c>
      <c r="P265" t="str">
        <f t="shared" si="21"/>
        <v>Before</v>
      </c>
      <c r="Q265" s="11">
        <f t="shared" ca="1" si="22"/>
        <v>13.857972944656566</v>
      </c>
      <c r="R265" s="11">
        <f t="shared" ca="1" si="23"/>
        <v>18.248432325794404</v>
      </c>
      <c r="S265" s="35">
        <f t="shared" ca="1" si="24"/>
        <v>0.31681829649052212</v>
      </c>
    </row>
    <row r="266" spans="1:19">
      <c r="A266" s="2" t="s">
        <v>322</v>
      </c>
      <c r="B266" s="2" t="s">
        <v>14</v>
      </c>
      <c r="C266" s="25">
        <v>45708</v>
      </c>
      <c r="D266" s="2" t="s">
        <v>38</v>
      </c>
      <c r="E266" s="2">
        <v>1877</v>
      </c>
      <c r="F266" s="2">
        <v>745</v>
      </c>
      <c r="G266" s="2">
        <v>225</v>
      </c>
      <c r="H266" s="3">
        <v>11262</v>
      </c>
      <c r="I266" s="2">
        <v>10967</v>
      </c>
      <c r="J266" s="3">
        <v>41</v>
      </c>
      <c r="K266" s="2" t="s">
        <v>31</v>
      </c>
      <c r="L266" s="2" t="s">
        <v>416</v>
      </c>
      <c r="M266" s="2" t="s">
        <v>416</v>
      </c>
      <c r="N266" s="2" t="s">
        <v>32</v>
      </c>
      <c r="O266" s="12">
        <f t="shared" si="20"/>
        <v>25.279701651571656</v>
      </c>
      <c r="P266" t="str">
        <f t="shared" si="21"/>
        <v>Before</v>
      </c>
      <c r="Q266" s="11">
        <f t="shared" ca="1" si="22"/>
        <v>12.728491299976051</v>
      </c>
      <c r="R266" s="11">
        <f t="shared" ca="1" si="23"/>
        <v>18.248432325794404</v>
      </c>
      <c r="S266" s="35">
        <f t="shared" ca="1" si="24"/>
        <v>0.43366813047424868</v>
      </c>
    </row>
    <row r="267" spans="1:19">
      <c r="A267" s="2" t="s">
        <v>323</v>
      </c>
      <c r="B267" s="2" t="s">
        <v>36</v>
      </c>
      <c r="C267" s="25">
        <v>45621</v>
      </c>
      <c r="D267" s="2" t="s">
        <v>29</v>
      </c>
      <c r="E267" s="2">
        <v>4182</v>
      </c>
      <c r="F267" s="2">
        <v>640</v>
      </c>
      <c r="G267" s="2">
        <v>240</v>
      </c>
      <c r="H267" s="3">
        <v>50184</v>
      </c>
      <c r="I267" s="2">
        <v>49351</v>
      </c>
      <c r="J267" s="3">
        <v>10</v>
      </c>
      <c r="K267" s="2" t="s">
        <v>25</v>
      </c>
      <c r="L267" s="2" t="s">
        <v>416</v>
      </c>
      <c r="M267" s="2" t="s">
        <v>416</v>
      </c>
      <c r="N267" s="2" t="s">
        <v>26</v>
      </c>
      <c r="O267" s="12">
        <f t="shared" si="20"/>
        <v>10.086880280567511</v>
      </c>
      <c r="P267" t="str">
        <f t="shared" si="21"/>
        <v>Before</v>
      </c>
      <c r="Q267" s="11">
        <f t="shared" ca="1" si="22"/>
        <v>12.359338054340885</v>
      </c>
      <c r="R267" s="11">
        <f t="shared" ca="1" si="23"/>
        <v>18.248432325794404</v>
      </c>
      <c r="S267" s="35">
        <f t="shared" ca="1" si="24"/>
        <v>0.47648945643857793</v>
      </c>
    </row>
    <row r="268" spans="1:19">
      <c r="A268" s="2" t="s">
        <v>324</v>
      </c>
      <c r="B268" s="2" t="s">
        <v>14</v>
      </c>
      <c r="C268" s="25">
        <v>45569</v>
      </c>
      <c r="D268" s="2" t="s">
        <v>15</v>
      </c>
      <c r="E268" s="2">
        <v>4187</v>
      </c>
      <c r="F268" s="2">
        <v>66</v>
      </c>
      <c r="G268" s="2">
        <v>31</v>
      </c>
      <c r="H268" s="3">
        <v>66992</v>
      </c>
      <c r="I268" s="2">
        <v>66614</v>
      </c>
      <c r="J268" s="3">
        <v>62</v>
      </c>
      <c r="K268" s="2" t="s">
        <v>50</v>
      </c>
      <c r="L268" s="2" t="s">
        <v>416</v>
      </c>
      <c r="M268" s="2" t="s">
        <v>416</v>
      </c>
      <c r="O268" s="12">
        <f t="shared" si="20"/>
        <v>6.3947934081681392</v>
      </c>
      <c r="P268" t="str">
        <f t="shared" si="21"/>
        <v>Before</v>
      </c>
      <c r="Q268" s="11">
        <f t="shared" ca="1" si="22"/>
        <v>12.428200411121898</v>
      </c>
      <c r="R268" s="11">
        <f t="shared" ca="1" si="23"/>
        <v>18.248432325794404</v>
      </c>
      <c r="S268" s="35">
        <f t="shared" ca="1" si="24"/>
        <v>0.46830850180562161</v>
      </c>
    </row>
    <row r="269" spans="1:19">
      <c r="A269" s="2" t="s">
        <v>325</v>
      </c>
      <c r="B269" s="2" t="s">
        <v>28</v>
      </c>
      <c r="C269" s="25">
        <v>45760</v>
      </c>
      <c r="D269" s="2" t="s">
        <v>15</v>
      </c>
      <c r="E269" s="2">
        <v>4579</v>
      </c>
      <c r="F269" s="2">
        <v>125</v>
      </c>
      <c r="G269" s="2">
        <v>300</v>
      </c>
      <c r="H269" s="3">
        <v>59527</v>
      </c>
      <c r="I269" s="2">
        <v>59400</v>
      </c>
      <c r="J269" s="3">
        <v>269</v>
      </c>
      <c r="K269" s="2" t="s">
        <v>31</v>
      </c>
      <c r="L269" s="2" t="s">
        <v>416</v>
      </c>
      <c r="M269" s="2" t="s">
        <v>416</v>
      </c>
      <c r="N269" s="2" t="s">
        <v>17</v>
      </c>
      <c r="O269" s="12">
        <f t="shared" si="20"/>
        <v>8.4062694239588751</v>
      </c>
      <c r="P269" t="str">
        <f t="shared" si="21"/>
        <v>Before</v>
      </c>
      <c r="Q269" s="11">
        <f t="shared" ca="1" si="22"/>
        <v>12.616744379964201</v>
      </c>
      <c r="R269" s="11">
        <f t="shared" ca="1" si="23"/>
        <v>18.248432325794404</v>
      </c>
      <c r="S269" s="35">
        <f t="shared" ca="1" si="24"/>
        <v>0.44636617626758818</v>
      </c>
    </row>
    <row r="270" spans="1:19">
      <c r="A270" s="2" t="s">
        <v>326</v>
      </c>
      <c r="B270" s="2" t="s">
        <v>28</v>
      </c>
      <c r="C270" s="25">
        <v>45601</v>
      </c>
      <c r="D270" s="2" t="s">
        <v>58</v>
      </c>
      <c r="E270" s="2">
        <v>4561</v>
      </c>
      <c r="F270" s="2">
        <v>51</v>
      </c>
      <c r="G270" s="2">
        <v>441</v>
      </c>
      <c r="H270" s="3">
        <v>22805</v>
      </c>
      <c r="I270" s="2">
        <v>21890</v>
      </c>
      <c r="J270" s="3">
        <v>45</v>
      </c>
      <c r="K270" s="2" t="s">
        <v>25</v>
      </c>
      <c r="L270" s="2" t="s">
        <v>416</v>
      </c>
      <c r="M270" s="2" t="s">
        <v>416</v>
      </c>
      <c r="N270" s="2" t="s">
        <v>21</v>
      </c>
      <c r="O270" s="12">
        <f t="shared" si="20"/>
        <v>22.157421618066213</v>
      </c>
      <c r="P270" t="str">
        <f t="shared" si="21"/>
        <v>Before</v>
      </c>
      <c r="Q270" s="11">
        <f t="shared" ca="1" si="22"/>
        <v>12.752566152738567</v>
      </c>
      <c r="R270" s="11">
        <f t="shared" ca="1" si="23"/>
        <v>18.248432325794404</v>
      </c>
      <c r="S270" s="35">
        <f t="shared" ca="1" si="24"/>
        <v>0.43096158900345094</v>
      </c>
    </row>
    <row r="271" spans="1:19">
      <c r="A271" s="2" t="s">
        <v>327</v>
      </c>
      <c r="B271" s="2" t="s">
        <v>23</v>
      </c>
      <c r="C271" s="25">
        <v>45672</v>
      </c>
      <c r="D271" s="2" t="s">
        <v>15</v>
      </c>
      <c r="E271" s="2">
        <v>3774</v>
      </c>
      <c r="F271" s="2">
        <v>239</v>
      </c>
      <c r="G271" s="2">
        <v>39</v>
      </c>
      <c r="H271" s="3">
        <v>60384</v>
      </c>
      <c r="I271" s="2">
        <v>59490</v>
      </c>
      <c r="J271" s="3">
        <v>241</v>
      </c>
      <c r="K271" s="2" t="s">
        <v>25</v>
      </c>
      <c r="L271" s="2" t="s">
        <v>416</v>
      </c>
      <c r="M271" s="2" t="s">
        <v>416</v>
      </c>
      <c r="N271" s="2" t="s">
        <v>26</v>
      </c>
      <c r="O271" s="12">
        <f t="shared" si="20"/>
        <v>6.7103868574456813</v>
      </c>
      <c r="P271" t="str">
        <f t="shared" si="21"/>
        <v>Before</v>
      </c>
      <c r="Q271" s="11">
        <f t="shared" ca="1" si="22"/>
        <v>12.439070970560977</v>
      </c>
      <c r="R271" s="11">
        <f t="shared" ca="1" si="23"/>
        <v>18.248432325794404</v>
      </c>
      <c r="S271" s="35">
        <f t="shared" ca="1" si="24"/>
        <v>0.46702534047616556</v>
      </c>
    </row>
    <row r="272" spans="1:19">
      <c r="A272" s="2" t="s">
        <v>328</v>
      </c>
      <c r="B272" s="2" t="s">
        <v>28</v>
      </c>
      <c r="C272" s="25">
        <v>45582</v>
      </c>
      <c r="D272" s="2" t="s">
        <v>58</v>
      </c>
      <c r="E272" s="2">
        <v>3575</v>
      </c>
      <c r="F272" s="2">
        <v>749</v>
      </c>
      <c r="G272" s="2">
        <v>111</v>
      </c>
      <c r="H272" s="3">
        <v>21450</v>
      </c>
      <c r="I272" s="2">
        <v>20785</v>
      </c>
      <c r="J272" s="3">
        <v>195</v>
      </c>
      <c r="K272" s="2" t="s">
        <v>31</v>
      </c>
      <c r="L272" s="2" t="s">
        <v>416</v>
      </c>
      <c r="M272" s="2" t="s">
        <v>416</v>
      </c>
      <c r="N272" s="2" t="s">
        <v>21</v>
      </c>
      <c r="O272" s="12">
        <f t="shared" si="20"/>
        <v>20.675990675990676</v>
      </c>
      <c r="P272" t="str">
        <f t="shared" si="21"/>
        <v>Before</v>
      </c>
      <c r="Q272" s="11">
        <f t="shared" ca="1" si="22"/>
        <v>12.636611802047712</v>
      </c>
      <c r="R272" s="11">
        <f t="shared" ca="1" si="23"/>
        <v>18.248432325794404</v>
      </c>
      <c r="S272" s="35">
        <f t="shared" ca="1" si="24"/>
        <v>0.4440921832256744</v>
      </c>
    </row>
    <row r="273" spans="1:19">
      <c r="A273" s="2" t="s">
        <v>329</v>
      </c>
      <c r="B273" s="2" t="s">
        <v>28</v>
      </c>
      <c r="C273" s="25">
        <v>45743</v>
      </c>
      <c r="D273" s="2" t="s">
        <v>19</v>
      </c>
      <c r="E273" s="2">
        <v>4941</v>
      </c>
      <c r="F273" s="2">
        <v>414</v>
      </c>
      <c r="G273" s="2">
        <v>266</v>
      </c>
      <c r="H273" s="3">
        <v>39528</v>
      </c>
      <c r="I273" s="2">
        <v>39154</v>
      </c>
      <c r="J273" s="3">
        <v>217</v>
      </c>
      <c r="K273" s="2" t="s">
        <v>25</v>
      </c>
      <c r="L273" s="2" t="s">
        <v>416</v>
      </c>
      <c r="M273" s="2" t="s">
        <v>416</v>
      </c>
      <c r="N273" s="2" t="s">
        <v>26</v>
      </c>
      <c r="O273" s="12">
        <f t="shared" si="20"/>
        <v>14.220299534507186</v>
      </c>
      <c r="P273" t="str">
        <f t="shared" si="21"/>
        <v>Before</v>
      </c>
      <c r="Q273" s="11">
        <f t="shared" ca="1" si="22"/>
        <v>12.349491127978323</v>
      </c>
      <c r="R273" s="11">
        <f t="shared" ca="1" si="23"/>
        <v>18.248432325794404</v>
      </c>
      <c r="S273" s="35">
        <f t="shared" ca="1" si="24"/>
        <v>0.47766674243376439</v>
      </c>
    </row>
    <row r="274" spans="1:19">
      <c r="A274" s="2" t="s">
        <v>330</v>
      </c>
      <c r="B274" s="2" t="s">
        <v>23</v>
      </c>
      <c r="C274" s="25">
        <v>45577</v>
      </c>
      <c r="D274" s="2" t="s">
        <v>29</v>
      </c>
      <c r="E274" s="2">
        <v>3641</v>
      </c>
      <c r="F274" s="2">
        <v>226</v>
      </c>
      <c r="G274" s="2">
        <v>46</v>
      </c>
      <c r="H274" s="3">
        <v>40051</v>
      </c>
      <c r="I274" s="2">
        <v>39319</v>
      </c>
      <c r="J274" s="3">
        <v>296</v>
      </c>
      <c r="K274" s="2" t="s">
        <v>31</v>
      </c>
      <c r="L274" s="2" t="s">
        <v>416</v>
      </c>
      <c r="M274" s="2" t="s">
        <v>416</v>
      </c>
      <c r="N274" s="2" t="s">
        <v>32</v>
      </c>
      <c r="O274" s="12">
        <f t="shared" si="20"/>
        <v>9.770043194926469</v>
      </c>
      <c r="P274" t="str">
        <f t="shared" si="21"/>
        <v>Before</v>
      </c>
      <c r="Q274" s="11">
        <f t="shared" ca="1" si="22"/>
        <v>12.280201927736513</v>
      </c>
      <c r="R274" s="11">
        <f t="shared" ca="1" si="23"/>
        <v>18.248432325794404</v>
      </c>
      <c r="S274" s="35">
        <f t="shared" ca="1" si="24"/>
        <v>0.48600425572627004</v>
      </c>
    </row>
    <row r="275" spans="1:19">
      <c r="A275" s="2" t="s">
        <v>331</v>
      </c>
      <c r="B275" s="2" t="s">
        <v>14</v>
      </c>
      <c r="C275" s="25">
        <v>45658</v>
      </c>
      <c r="D275" s="2" t="s">
        <v>38</v>
      </c>
      <c r="E275" s="2">
        <v>3535</v>
      </c>
      <c r="F275" s="2">
        <v>494</v>
      </c>
      <c r="G275" s="2">
        <v>152</v>
      </c>
      <c r="H275" s="3">
        <v>53025</v>
      </c>
      <c r="I275" s="2">
        <v>52791</v>
      </c>
      <c r="J275" s="3">
        <v>44</v>
      </c>
      <c r="K275" s="2" t="s">
        <v>25</v>
      </c>
      <c r="L275" s="2" t="s">
        <v>416</v>
      </c>
      <c r="M275" s="2" t="s">
        <v>416</v>
      </c>
      <c r="N275" s="2" t="s">
        <v>32</v>
      </c>
      <c r="O275" s="12">
        <f t="shared" si="20"/>
        <v>7.8849599245638853</v>
      </c>
      <c r="P275" t="str">
        <f t="shared" si="21"/>
        <v>Before</v>
      </c>
      <c r="Q275" s="11">
        <f t="shared" ca="1" si="22"/>
        <v>12.376746494383053</v>
      </c>
      <c r="R275" s="11">
        <f t="shared" ca="1" si="23"/>
        <v>18.248432325794404</v>
      </c>
      <c r="S275" s="35">
        <f t="shared" ca="1" si="24"/>
        <v>0.47441270887111592</v>
      </c>
    </row>
    <row r="276" spans="1:19">
      <c r="A276" s="2" t="s">
        <v>332</v>
      </c>
      <c r="B276" s="2" t="s">
        <v>36</v>
      </c>
      <c r="C276" s="25">
        <v>45509</v>
      </c>
      <c r="D276" s="2" t="s">
        <v>15</v>
      </c>
      <c r="E276" s="2">
        <v>1741</v>
      </c>
      <c r="F276" s="2">
        <v>831</v>
      </c>
      <c r="G276" s="2">
        <v>345</v>
      </c>
      <c r="H276" s="3">
        <v>17410</v>
      </c>
      <c r="I276" s="2">
        <v>16844</v>
      </c>
      <c r="J276" s="3">
        <v>58</v>
      </c>
      <c r="K276" s="2" t="s">
        <v>31</v>
      </c>
      <c r="L276" s="2" t="s">
        <v>416</v>
      </c>
      <c r="M276" s="2" t="s">
        <v>416</v>
      </c>
      <c r="N276" s="2" t="s">
        <v>26</v>
      </c>
      <c r="O276" s="12">
        <f t="shared" si="20"/>
        <v>16.754738655944859</v>
      </c>
      <c r="P276" t="str">
        <f t="shared" si="21"/>
        <v>Before</v>
      </c>
      <c r="Q276" s="11">
        <f t="shared" ca="1" si="22"/>
        <v>12.556417957175819</v>
      </c>
      <c r="R276" s="11">
        <f t="shared" ca="1" si="23"/>
        <v>18.248432325794404</v>
      </c>
      <c r="S276" s="35">
        <f t="shared" ca="1" si="24"/>
        <v>0.45331514035542897</v>
      </c>
    </row>
    <row r="277" spans="1:19">
      <c r="A277" s="2" t="s">
        <v>333</v>
      </c>
      <c r="B277" s="2" t="s">
        <v>14</v>
      </c>
      <c r="C277" s="25">
        <v>45450</v>
      </c>
      <c r="D277" s="2" t="s">
        <v>38</v>
      </c>
      <c r="E277" s="2">
        <v>1556</v>
      </c>
      <c r="F277" s="2">
        <v>195</v>
      </c>
      <c r="G277" s="2">
        <v>131</v>
      </c>
      <c r="H277" s="3">
        <v>9336</v>
      </c>
      <c r="I277" s="2">
        <v>8875</v>
      </c>
      <c r="J277" s="3">
        <v>137</v>
      </c>
      <c r="K277" s="2" t="s">
        <v>25</v>
      </c>
      <c r="L277" s="2" t="s">
        <v>416</v>
      </c>
      <c r="M277" s="2" t="s">
        <v>416</v>
      </c>
      <c r="N277" s="2" t="s">
        <v>21</v>
      </c>
      <c r="O277" s="12">
        <f t="shared" si="20"/>
        <v>20.158526135389891</v>
      </c>
      <c r="P277" t="str">
        <f t="shared" si="21"/>
        <v>Before</v>
      </c>
      <c r="Q277" s="11">
        <f t="shared" ca="1" si="22"/>
        <v>12.381487928060443</v>
      </c>
      <c r="R277" s="11">
        <f t="shared" ca="1" si="23"/>
        <v>18.248432325794404</v>
      </c>
      <c r="S277" s="35">
        <f t="shared" ca="1" si="24"/>
        <v>0.47384808932677425</v>
      </c>
    </row>
    <row r="278" spans="1:19">
      <c r="A278" s="2" t="s">
        <v>334</v>
      </c>
      <c r="B278" s="2" t="s">
        <v>36</v>
      </c>
      <c r="C278" s="25">
        <v>45753</v>
      </c>
      <c r="D278" s="2" t="s">
        <v>43</v>
      </c>
      <c r="E278" s="2">
        <v>4236</v>
      </c>
      <c r="F278" s="2">
        <v>711</v>
      </c>
      <c r="G278" s="2">
        <v>298</v>
      </c>
      <c r="H278" s="3">
        <v>21180</v>
      </c>
      <c r="I278" s="2">
        <v>20516</v>
      </c>
      <c r="J278" s="3">
        <v>238</v>
      </c>
      <c r="K278" s="2" t="s">
        <v>50</v>
      </c>
      <c r="L278" s="2" t="s">
        <v>416</v>
      </c>
      <c r="M278" s="2" t="s">
        <v>416</v>
      </c>
      <c r="N278" s="2" t="s">
        <v>17</v>
      </c>
      <c r="O278" s="12">
        <f t="shared" si="20"/>
        <v>24.76392823418319</v>
      </c>
      <c r="P278" t="str">
        <f t="shared" si="21"/>
        <v>Before</v>
      </c>
      <c r="Q278" s="11">
        <f t="shared" ca="1" si="22"/>
        <v>12.043355832089597</v>
      </c>
      <c r="R278" s="11">
        <f t="shared" ca="1" si="23"/>
        <v>18.248432325794404</v>
      </c>
      <c r="S278" s="35">
        <f t="shared" ca="1" si="24"/>
        <v>0.51522819554756838</v>
      </c>
    </row>
    <row r="279" spans="1:19">
      <c r="A279" s="2" t="s">
        <v>335</v>
      </c>
      <c r="B279" s="2" t="s">
        <v>14</v>
      </c>
      <c r="C279" s="25">
        <v>45622</v>
      </c>
      <c r="D279" s="2" t="s">
        <v>19</v>
      </c>
      <c r="E279" s="2">
        <v>4516</v>
      </c>
      <c r="F279" s="2">
        <v>836</v>
      </c>
      <c r="G279" s="2">
        <v>169</v>
      </c>
      <c r="H279" s="3">
        <v>49676</v>
      </c>
      <c r="I279" s="2">
        <v>49257</v>
      </c>
      <c r="J279" s="3">
        <v>282</v>
      </c>
      <c r="K279" s="2" t="s">
        <v>31</v>
      </c>
      <c r="L279" s="2" t="s">
        <v>416</v>
      </c>
      <c r="M279" s="2" t="s">
        <v>416</v>
      </c>
      <c r="N279" s="2" t="s">
        <v>32</v>
      </c>
      <c r="O279" s="12">
        <f t="shared" si="20"/>
        <v>11.114018842096787</v>
      </c>
      <c r="P279" t="str">
        <f t="shared" si="21"/>
        <v>Before</v>
      </c>
      <c r="Q279" s="11">
        <f t="shared" ca="1" si="22"/>
        <v>11.465147995630799</v>
      </c>
      <c r="R279" s="11">
        <f t="shared" ca="1" si="23"/>
        <v>18.248432325794404</v>
      </c>
      <c r="S279" s="35">
        <f t="shared" ca="1" si="24"/>
        <v>0.59164385254761787</v>
      </c>
    </row>
    <row r="280" spans="1:19">
      <c r="A280" s="2" t="s">
        <v>336</v>
      </c>
      <c r="B280" s="2" t="s">
        <v>23</v>
      </c>
      <c r="C280" s="25">
        <v>45537</v>
      </c>
      <c r="D280" s="2" t="s">
        <v>43</v>
      </c>
      <c r="E280" s="2">
        <v>4905</v>
      </c>
      <c r="F280" s="2">
        <v>845</v>
      </c>
      <c r="G280" s="2">
        <v>129</v>
      </c>
      <c r="H280" s="3">
        <v>98100</v>
      </c>
      <c r="I280" s="2">
        <v>97772</v>
      </c>
      <c r="J280" s="3">
        <v>279</v>
      </c>
      <c r="K280" s="2" t="s">
        <v>25</v>
      </c>
      <c r="L280" s="2" t="s">
        <v>416</v>
      </c>
      <c r="M280" s="2" t="s">
        <v>416</v>
      </c>
      <c r="N280" s="2" t="s">
        <v>21</v>
      </c>
      <c r="O280" s="12">
        <f t="shared" si="20"/>
        <v>5.9928644240570845</v>
      </c>
      <c r="P280" t="str">
        <f t="shared" si="21"/>
        <v>Before</v>
      </c>
      <c r="Q280" s="11">
        <f t="shared" ca="1" si="22"/>
        <v>11.481868431513371</v>
      </c>
      <c r="R280" s="11">
        <f t="shared" ca="1" si="23"/>
        <v>18.248432325794404</v>
      </c>
      <c r="S280" s="35">
        <f t="shared" ca="1" si="24"/>
        <v>0.58932602604201445</v>
      </c>
    </row>
    <row r="281" spans="1:19">
      <c r="A281" s="2" t="s">
        <v>337</v>
      </c>
      <c r="B281" s="2" t="s">
        <v>23</v>
      </c>
      <c r="C281" s="25">
        <v>45586</v>
      </c>
      <c r="D281" s="2" t="s">
        <v>58</v>
      </c>
      <c r="E281" s="2">
        <v>4275</v>
      </c>
      <c r="F281" s="2">
        <v>680</v>
      </c>
      <c r="G281" s="2">
        <v>385</v>
      </c>
      <c r="H281" s="3">
        <v>64125</v>
      </c>
      <c r="I281" s="2">
        <v>63650</v>
      </c>
      <c r="J281" s="3">
        <v>104</v>
      </c>
      <c r="K281" s="2" t="s">
        <v>31</v>
      </c>
      <c r="L281" s="2" t="s">
        <v>25</v>
      </c>
      <c r="M281" s="2" t="s">
        <v>386</v>
      </c>
      <c r="N281" s="2" t="s">
        <v>32</v>
      </c>
      <c r="O281" s="12">
        <f t="shared" si="20"/>
        <v>8.3274853801169577</v>
      </c>
      <c r="P281" t="str">
        <f t="shared" si="21"/>
        <v>Before</v>
      </c>
      <c r="Q281" s="11">
        <f t="shared" ca="1" si="22"/>
        <v>11.756318631886185</v>
      </c>
      <c r="R281" s="11">
        <f t="shared" ca="1" si="23"/>
        <v>18.248432325794404</v>
      </c>
      <c r="S281" s="35">
        <f t="shared" ca="1" si="24"/>
        <v>0.55222335300609526</v>
      </c>
    </row>
    <row r="282" spans="1:19">
      <c r="A282" s="2" t="s">
        <v>338</v>
      </c>
      <c r="B282" s="2" t="s">
        <v>23</v>
      </c>
      <c r="C282" s="25">
        <v>45738</v>
      </c>
      <c r="D282" s="2" t="s">
        <v>43</v>
      </c>
      <c r="E282" s="2">
        <v>3166</v>
      </c>
      <c r="F282" s="2">
        <v>90</v>
      </c>
      <c r="G282" s="2">
        <v>341</v>
      </c>
      <c r="H282" s="3">
        <v>56988</v>
      </c>
      <c r="I282" s="2">
        <v>56125</v>
      </c>
      <c r="J282" s="3">
        <v>135</v>
      </c>
      <c r="K282" s="2" t="s">
        <v>31</v>
      </c>
      <c r="L282" s="2" t="s">
        <v>416</v>
      </c>
      <c r="M282" s="2" t="s">
        <v>416</v>
      </c>
      <c r="N282" s="2" t="s">
        <v>21</v>
      </c>
      <c r="O282" s="12">
        <f t="shared" si="20"/>
        <v>6.3118551273952415</v>
      </c>
      <c r="P282" t="str">
        <f t="shared" si="21"/>
        <v>Before</v>
      </c>
      <c r="Q282" s="11">
        <f t="shared" ca="1" si="22"/>
        <v>11.936783539874041</v>
      </c>
      <c r="R282" s="11">
        <f t="shared" ca="1" si="23"/>
        <v>18.248432325794404</v>
      </c>
      <c r="S282" s="35">
        <f t="shared" ca="1" si="24"/>
        <v>0.52875624030851487</v>
      </c>
    </row>
    <row r="283" spans="1:19">
      <c r="A283" s="2" t="s">
        <v>339</v>
      </c>
      <c r="B283" s="2" t="s">
        <v>28</v>
      </c>
      <c r="C283" s="25">
        <v>45568</v>
      </c>
      <c r="D283" s="2" t="s">
        <v>58</v>
      </c>
      <c r="E283" s="2">
        <v>1488</v>
      </c>
      <c r="F283" s="2">
        <v>417</v>
      </c>
      <c r="G283" s="2">
        <v>168</v>
      </c>
      <c r="H283" s="3">
        <v>19344</v>
      </c>
      <c r="I283" s="2">
        <v>18395</v>
      </c>
      <c r="J283" s="3">
        <v>30</v>
      </c>
      <c r="K283" s="2" t="s">
        <v>50</v>
      </c>
      <c r="L283" s="2" t="s">
        <v>416</v>
      </c>
      <c r="M283" s="2" t="s">
        <v>416</v>
      </c>
      <c r="N283" s="2" t="s">
        <v>26</v>
      </c>
      <c r="O283" s="12">
        <f t="shared" si="20"/>
        <v>10.716501240694789</v>
      </c>
      <c r="P283" t="str">
        <f t="shared" si="21"/>
        <v>Before</v>
      </c>
      <c r="Q283" s="11">
        <f t="shared" ca="1" si="22"/>
        <v>12.24927956278953</v>
      </c>
      <c r="R283" s="11">
        <f t="shared" ca="1" si="23"/>
        <v>18.248432325794404</v>
      </c>
      <c r="S283" s="35">
        <f t="shared" ca="1" si="24"/>
        <v>0.48975555927622949</v>
      </c>
    </row>
    <row r="284" spans="1:19">
      <c r="A284" s="2" t="s">
        <v>340</v>
      </c>
      <c r="B284" s="2" t="s">
        <v>14</v>
      </c>
      <c r="C284" s="25">
        <v>45786</v>
      </c>
      <c r="D284" s="2" t="s">
        <v>15</v>
      </c>
      <c r="E284" s="2">
        <v>3367</v>
      </c>
      <c r="F284" s="2">
        <v>302</v>
      </c>
      <c r="G284" s="2">
        <v>57</v>
      </c>
      <c r="H284" s="3">
        <v>63973</v>
      </c>
      <c r="I284" s="2">
        <v>63789</v>
      </c>
      <c r="J284" s="3">
        <v>157</v>
      </c>
      <c r="K284" s="2" t="s">
        <v>50</v>
      </c>
      <c r="L284" s="2" t="s">
        <v>416</v>
      </c>
      <c r="M284" s="2" t="s">
        <v>416</v>
      </c>
      <c r="N284" s="2" t="s">
        <v>21</v>
      </c>
      <c r="O284" s="12">
        <f t="shared" si="20"/>
        <v>5.8243321401216139</v>
      </c>
      <c r="P284" t="str">
        <f t="shared" si="21"/>
        <v>Before</v>
      </c>
      <c r="Q284" s="11">
        <f t="shared" ca="1" si="22"/>
        <v>12.339442993500983</v>
      </c>
      <c r="R284" s="11">
        <f t="shared" ca="1" si="23"/>
        <v>18.248432325794404</v>
      </c>
      <c r="S284" s="35">
        <f t="shared" ca="1" si="24"/>
        <v>0.47887002155653263</v>
      </c>
    </row>
    <row r="285" spans="1:19">
      <c r="A285" s="2" t="s">
        <v>341</v>
      </c>
      <c r="B285" s="2" t="s">
        <v>14</v>
      </c>
      <c r="C285" s="25">
        <v>45552</v>
      </c>
      <c r="D285" s="2" t="s">
        <v>19</v>
      </c>
      <c r="E285" s="2">
        <v>571</v>
      </c>
      <c r="F285" s="2">
        <v>190</v>
      </c>
      <c r="G285" s="2">
        <v>352</v>
      </c>
      <c r="H285" s="3">
        <v>9707</v>
      </c>
      <c r="I285" s="2">
        <v>9418</v>
      </c>
      <c r="J285" s="3">
        <v>231</v>
      </c>
      <c r="K285" s="2" t="s">
        <v>25</v>
      </c>
      <c r="L285" s="2" t="s">
        <v>416</v>
      </c>
      <c r="M285" s="2" t="s">
        <v>416</v>
      </c>
      <c r="N285" s="2" t="s">
        <v>32</v>
      </c>
      <c r="O285" s="12">
        <f t="shared" si="20"/>
        <v>11.46595240548058</v>
      </c>
      <c r="P285" t="str">
        <f t="shared" si="21"/>
        <v>Before</v>
      </c>
      <c r="Q285" s="11">
        <f t="shared" ca="1" si="22"/>
        <v>12.746637421837194</v>
      </c>
      <c r="R285" s="11">
        <f t="shared" ca="1" si="23"/>
        <v>18.248432325794404</v>
      </c>
      <c r="S285" s="35">
        <f t="shared" ca="1" si="24"/>
        <v>0.43162715953084879</v>
      </c>
    </row>
    <row r="286" spans="1:19">
      <c r="A286" s="2" t="s">
        <v>342</v>
      </c>
      <c r="B286" s="2" t="s">
        <v>23</v>
      </c>
      <c r="C286" s="25">
        <v>45491</v>
      </c>
      <c r="D286" s="2" t="s">
        <v>19</v>
      </c>
      <c r="E286" s="2">
        <v>4021</v>
      </c>
      <c r="F286" s="2">
        <v>794</v>
      </c>
      <c r="G286" s="2">
        <v>77</v>
      </c>
      <c r="H286" s="3">
        <v>36189</v>
      </c>
      <c r="I286" s="2">
        <v>35505</v>
      </c>
      <c r="J286" s="3">
        <v>174</v>
      </c>
      <c r="K286" s="2" t="s">
        <v>31</v>
      </c>
      <c r="L286" s="2" t="s">
        <v>416</v>
      </c>
      <c r="M286" s="2" t="s">
        <v>416</v>
      </c>
      <c r="O286" s="12">
        <f t="shared" si="20"/>
        <v>13.517919809886983</v>
      </c>
      <c r="P286" t="str">
        <f t="shared" si="21"/>
        <v>Before</v>
      </c>
      <c r="Q286" s="11">
        <f t="shared" ca="1" si="22"/>
        <v>12.832016422927634</v>
      </c>
      <c r="R286" s="11">
        <f t="shared" ca="1" si="23"/>
        <v>18.248432325794404</v>
      </c>
      <c r="S286" s="35">
        <f t="shared" ca="1" si="24"/>
        <v>0.42210169659609986</v>
      </c>
    </row>
    <row r="287" spans="1:19">
      <c r="A287" s="2" t="s">
        <v>343</v>
      </c>
      <c r="B287" s="2" t="s">
        <v>23</v>
      </c>
      <c r="C287" s="25">
        <v>45560</v>
      </c>
      <c r="D287" s="2" t="s">
        <v>58</v>
      </c>
      <c r="E287" s="2">
        <v>3389</v>
      </c>
      <c r="F287" s="2">
        <v>344</v>
      </c>
      <c r="G287" s="2">
        <v>229</v>
      </c>
      <c r="H287" s="3">
        <v>20334</v>
      </c>
      <c r="I287" s="2">
        <v>19443</v>
      </c>
      <c r="J287" s="3">
        <v>228</v>
      </c>
      <c r="K287" s="2" t="s">
        <v>50</v>
      </c>
      <c r="L287" s="2" t="s">
        <v>416</v>
      </c>
      <c r="M287" s="2" t="s">
        <v>416</v>
      </c>
      <c r="N287" s="2" t="s">
        <v>26</v>
      </c>
      <c r="O287" s="12">
        <f t="shared" si="20"/>
        <v>19.484607062063539</v>
      </c>
      <c r="P287" t="str">
        <f t="shared" si="21"/>
        <v>Before</v>
      </c>
      <c r="Q287" s="11">
        <f t="shared" ca="1" si="22"/>
        <v>12.78302332385911</v>
      </c>
      <c r="R287" s="11">
        <f t="shared" ca="1" si="23"/>
        <v>18.248432325794404</v>
      </c>
      <c r="S287" s="35">
        <f t="shared" ca="1" si="24"/>
        <v>0.42755214188917895</v>
      </c>
    </row>
    <row r="288" spans="1:19">
      <c r="A288" s="2" t="s">
        <v>344</v>
      </c>
      <c r="B288" s="2" t="s">
        <v>28</v>
      </c>
      <c r="C288" s="25">
        <v>45519</v>
      </c>
      <c r="D288" s="2" t="s">
        <v>15</v>
      </c>
      <c r="E288" s="2">
        <v>1164</v>
      </c>
      <c r="F288" s="2">
        <v>616</v>
      </c>
      <c r="G288" s="2">
        <v>324</v>
      </c>
      <c r="H288" s="3">
        <v>6984</v>
      </c>
      <c r="I288" s="2">
        <v>6636</v>
      </c>
      <c r="J288" s="3">
        <v>82</v>
      </c>
      <c r="K288" s="2" t="s">
        <v>31</v>
      </c>
      <c r="L288" s="2" t="s">
        <v>416</v>
      </c>
      <c r="M288" s="2" t="s">
        <v>416</v>
      </c>
      <c r="N288" s="2" t="s">
        <v>17</v>
      </c>
      <c r="O288" s="12">
        <f t="shared" si="20"/>
        <v>30.126002290950744</v>
      </c>
      <c r="P288" t="str">
        <f t="shared" si="21"/>
        <v>Before</v>
      </c>
      <c r="Q288" s="11">
        <f t="shared" ca="1" si="22"/>
        <v>12.267516882458771</v>
      </c>
      <c r="R288" s="11">
        <f t="shared" ca="1" si="23"/>
        <v>18.248432325794404</v>
      </c>
      <c r="S288" s="35">
        <f t="shared" ca="1" si="24"/>
        <v>0.4875408365557416</v>
      </c>
    </row>
    <row r="289" spans="1:19">
      <c r="A289" s="2" t="s">
        <v>345</v>
      </c>
      <c r="B289" s="2" t="s">
        <v>23</v>
      </c>
      <c r="C289" s="25">
        <v>45764</v>
      </c>
      <c r="D289" s="2" t="s">
        <v>38</v>
      </c>
      <c r="E289" s="2">
        <v>4780</v>
      </c>
      <c r="F289" s="2">
        <v>691</v>
      </c>
      <c r="G289" s="2">
        <v>380</v>
      </c>
      <c r="H289" s="3">
        <v>86040</v>
      </c>
      <c r="I289" s="2">
        <v>85743</v>
      </c>
      <c r="J289" s="3">
        <v>262</v>
      </c>
      <c r="K289" s="2" t="s">
        <v>50</v>
      </c>
      <c r="L289" s="2" t="s">
        <v>416</v>
      </c>
      <c r="M289" s="2" t="s">
        <v>416</v>
      </c>
      <c r="N289" s="2" t="s">
        <v>26</v>
      </c>
      <c r="O289" s="12">
        <f t="shared" si="20"/>
        <v>6.8003254300325429</v>
      </c>
      <c r="P289" t="str">
        <f t="shared" si="21"/>
        <v>Before</v>
      </c>
      <c r="Q289" s="11">
        <f t="shared" ca="1" si="22"/>
        <v>10.77930976508444</v>
      </c>
      <c r="R289" s="11">
        <f t="shared" ca="1" si="23"/>
        <v>18.248432325794404</v>
      </c>
      <c r="S289" s="35">
        <f t="shared" ca="1" si="24"/>
        <v>0.69291287879149788</v>
      </c>
    </row>
    <row r="290" spans="1:19">
      <c r="A290" s="2" t="s">
        <v>346</v>
      </c>
      <c r="B290" s="2" t="s">
        <v>36</v>
      </c>
      <c r="C290" s="25">
        <v>45624</v>
      </c>
      <c r="D290" s="2" t="s">
        <v>38</v>
      </c>
      <c r="E290" s="2">
        <v>2751</v>
      </c>
      <c r="F290" s="2">
        <v>33</v>
      </c>
      <c r="G290" s="2">
        <v>430</v>
      </c>
      <c r="H290" s="3">
        <v>44016</v>
      </c>
      <c r="I290" s="2">
        <v>43415</v>
      </c>
      <c r="J290" s="3">
        <v>129</v>
      </c>
      <c r="K290" s="2" t="s">
        <v>50</v>
      </c>
      <c r="L290" s="2" t="s">
        <v>416</v>
      </c>
      <c r="M290" s="2" t="s">
        <v>416</v>
      </c>
      <c r="O290" s="12">
        <f t="shared" si="20"/>
        <v>7.3018902217375503</v>
      </c>
      <c r="P290" t="str">
        <f t="shared" si="21"/>
        <v>Before</v>
      </c>
      <c r="Q290" s="11">
        <f t="shared" ca="1" si="22"/>
        <v>11.141035613725519</v>
      </c>
      <c r="R290" s="11">
        <f t="shared" ca="1" si="23"/>
        <v>18.248432325794404</v>
      </c>
      <c r="S290" s="35">
        <f t="shared" ca="1" si="24"/>
        <v>0.63794758032302878</v>
      </c>
    </row>
    <row r="291" spans="1:19">
      <c r="A291" s="2" t="s">
        <v>347</v>
      </c>
      <c r="B291" s="2" t="s">
        <v>28</v>
      </c>
      <c r="C291" s="25">
        <v>45646</v>
      </c>
      <c r="D291" s="2" t="s">
        <v>38</v>
      </c>
      <c r="E291" s="2">
        <v>2107</v>
      </c>
      <c r="F291" s="2">
        <v>550</v>
      </c>
      <c r="G291" s="2">
        <v>349</v>
      </c>
      <c r="H291" s="3">
        <v>35819</v>
      </c>
      <c r="I291" s="2">
        <v>35340</v>
      </c>
      <c r="J291" s="3">
        <v>191</v>
      </c>
      <c r="K291" s="2" t="s">
        <v>31</v>
      </c>
      <c r="L291" s="2" t="s">
        <v>416</v>
      </c>
      <c r="M291" s="2" t="s">
        <v>416</v>
      </c>
      <c r="N291" s="2" t="s">
        <v>32</v>
      </c>
      <c r="O291" s="12">
        <f t="shared" si="20"/>
        <v>8.392194086937101</v>
      </c>
      <c r="P291" t="str">
        <f t="shared" si="21"/>
        <v>Before</v>
      </c>
      <c r="Q291" s="11">
        <f t="shared" ca="1" si="22"/>
        <v>11.524950152924317</v>
      </c>
      <c r="R291" s="11">
        <f t="shared" ca="1" si="23"/>
        <v>18.248432325794404</v>
      </c>
      <c r="S291" s="35">
        <f t="shared" ca="1" si="24"/>
        <v>0.58338492432994027</v>
      </c>
    </row>
    <row r="292" spans="1:19">
      <c r="A292" s="2" t="s">
        <v>348</v>
      </c>
      <c r="B292" s="2" t="s">
        <v>36</v>
      </c>
      <c r="C292" s="25">
        <v>45602</v>
      </c>
      <c r="D292" s="2" t="s">
        <v>58</v>
      </c>
      <c r="E292" s="2">
        <v>4663</v>
      </c>
      <c r="F292" s="2">
        <v>145</v>
      </c>
      <c r="G292" s="2">
        <v>225</v>
      </c>
      <c r="H292" s="3">
        <v>69945</v>
      </c>
      <c r="I292" s="2">
        <v>69596</v>
      </c>
      <c r="J292" s="3">
        <v>35</v>
      </c>
      <c r="K292" s="2" t="s">
        <v>31</v>
      </c>
      <c r="L292" s="2" t="s">
        <v>416</v>
      </c>
      <c r="M292" s="2" t="s">
        <v>416</v>
      </c>
      <c r="N292" s="2" t="s">
        <v>32</v>
      </c>
      <c r="O292" s="12">
        <f t="shared" si="20"/>
        <v>7.1956537279290869</v>
      </c>
      <c r="P292" t="str">
        <f t="shared" si="21"/>
        <v>Before</v>
      </c>
      <c r="Q292" s="11">
        <f t="shared" ca="1" si="22"/>
        <v>11.873034160256232</v>
      </c>
      <c r="R292" s="11">
        <f t="shared" ca="1" si="23"/>
        <v>18.248432325794404</v>
      </c>
      <c r="S292" s="35">
        <f t="shared" ca="1" si="24"/>
        <v>0.53696452646276094</v>
      </c>
    </row>
    <row r="293" spans="1:19">
      <c r="A293" s="2" t="s">
        <v>349</v>
      </c>
      <c r="B293" s="2" t="s">
        <v>36</v>
      </c>
      <c r="C293" s="25">
        <v>45613</v>
      </c>
      <c r="D293" s="2" t="s">
        <v>19</v>
      </c>
      <c r="E293" s="2">
        <v>880</v>
      </c>
      <c r="F293" s="2">
        <v>297</v>
      </c>
      <c r="G293" s="2">
        <v>345</v>
      </c>
      <c r="H293" s="3">
        <v>12320</v>
      </c>
      <c r="I293" s="2">
        <v>11978</v>
      </c>
      <c r="J293" s="3">
        <v>238</v>
      </c>
      <c r="K293" s="2" t="s">
        <v>25</v>
      </c>
      <c r="L293" s="2" t="s">
        <v>386</v>
      </c>
      <c r="M293" s="2" t="s">
        <v>416</v>
      </c>
      <c r="O293" s="12">
        <f t="shared" si="20"/>
        <v>12.353896103896105</v>
      </c>
      <c r="P293" t="str">
        <f t="shared" si="21"/>
        <v>Before</v>
      </c>
      <c r="Q293" s="11">
        <f t="shared" ca="1" si="22"/>
        <v>12.457706714297123</v>
      </c>
      <c r="R293" s="11">
        <f t="shared" ca="1" si="23"/>
        <v>18.248432325794404</v>
      </c>
      <c r="S293" s="35">
        <f t="shared" ca="1" si="24"/>
        <v>0.46483078662074606</v>
      </c>
    </row>
    <row r="294" spans="1:19">
      <c r="A294" s="2" t="s">
        <v>350</v>
      </c>
      <c r="B294" s="2" t="s">
        <v>36</v>
      </c>
      <c r="C294" s="25">
        <v>45791</v>
      </c>
      <c r="D294" s="2" t="s">
        <v>19</v>
      </c>
      <c r="E294" s="2">
        <v>2634</v>
      </c>
      <c r="F294" s="2">
        <v>726</v>
      </c>
      <c r="G294" s="2">
        <v>241</v>
      </c>
      <c r="H294" s="3">
        <v>28974</v>
      </c>
      <c r="I294" s="2">
        <v>28102</v>
      </c>
      <c r="J294" s="3">
        <v>277</v>
      </c>
      <c r="K294" s="2" t="s">
        <v>31</v>
      </c>
      <c r="L294" s="2" t="s">
        <v>416</v>
      </c>
      <c r="M294" s="2" t="s">
        <v>416</v>
      </c>
      <c r="N294" s="2" t="s">
        <v>17</v>
      </c>
      <c r="O294" s="12">
        <f t="shared" si="20"/>
        <v>12.428384068475184</v>
      </c>
      <c r="P294" t="str">
        <f t="shared" si="21"/>
        <v>Before</v>
      </c>
      <c r="Q294" s="11">
        <f t="shared" ca="1" si="22"/>
        <v>12.472536801497268</v>
      </c>
      <c r="R294" s="11">
        <f t="shared" ca="1" si="23"/>
        <v>18.248432325794404</v>
      </c>
      <c r="S294" s="35">
        <f t="shared" ca="1" si="24"/>
        <v>0.46308907451800557</v>
      </c>
    </row>
    <row r="295" spans="1:19">
      <c r="A295" s="2" t="s">
        <v>351</v>
      </c>
      <c r="B295" s="2" t="s">
        <v>36</v>
      </c>
      <c r="C295" s="25">
        <v>45462</v>
      </c>
      <c r="D295" s="2" t="s">
        <v>38</v>
      </c>
      <c r="E295" s="2">
        <v>4731</v>
      </c>
      <c r="F295" s="2">
        <v>173</v>
      </c>
      <c r="G295" s="2">
        <v>276</v>
      </c>
      <c r="H295" s="3">
        <v>28386</v>
      </c>
      <c r="I295" s="2">
        <v>28185</v>
      </c>
      <c r="J295" s="3">
        <v>89</v>
      </c>
      <c r="K295" s="2" t="s">
        <v>31</v>
      </c>
      <c r="L295" s="2" t="s">
        <v>416</v>
      </c>
      <c r="M295" s="2" t="s">
        <v>416</v>
      </c>
      <c r="N295" s="2" t="s">
        <v>26</v>
      </c>
      <c r="O295" s="12">
        <f t="shared" si="20"/>
        <v>18.248432325794404</v>
      </c>
      <c r="P295" t="str">
        <f t="shared" si="21"/>
        <v>During</v>
      </c>
      <c r="Q295" s="11">
        <f t="shared" ca="1" si="22"/>
        <v>12.479895590334282</v>
      </c>
      <c r="R295" s="11">
        <f t="shared" ca="1" si="23"/>
        <v>18.248432325794404</v>
      </c>
      <c r="S295" s="35">
        <f t="shared" ca="1" si="24"/>
        <v>0.46222636188782479</v>
      </c>
    </row>
    <row r="296" spans="1:19">
      <c r="A296" s="2" t="s">
        <v>352</v>
      </c>
      <c r="B296" s="2" t="s">
        <v>14</v>
      </c>
      <c r="C296" s="25">
        <v>45783</v>
      </c>
      <c r="D296" s="2" t="s">
        <v>43</v>
      </c>
      <c r="E296" s="2">
        <v>1952</v>
      </c>
      <c r="F296" s="2">
        <v>344</v>
      </c>
      <c r="G296" s="2">
        <v>287</v>
      </c>
      <c r="H296" s="3">
        <v>15616</v>
      </c>
      <c r="I296" s="2">
        <v>15403</v>
      </c>
      <c r="J296" s="3">
        <v>235</v>
      </c>
      <c r="K296" s="2" t="s">
        <v>50</v>
      </c>
      <c r="L296" s="2" t="s">
        <v>25</v>
      </c>
      <c r="M296" s="2" t="s">
        <v>386</v>
      </c>
      <c r="N296" s="2" t="s">
        <v>21</v>
      </c>
      <c r="O296" s="12">
        <f t="shared" si="20"/>
        <v>16.540727459016395</v>
      </c>
      <c r="P296" t="str">
        <f t="shared" si="21"/>
        <v>Before</v>
      </c>
      <c r="Q296" s="11">
        <f t="shared" ca="1" si="22"/>
        <v>12.479895590334282</v>
      </c>
      <c r="R296" s="11" t="e">
        <f t="shared" ca="1" si="23"/>
        <v>#DIV/0!</v>
      </c>
      <c r="S296" s="35" t="e">
        <f t="shared" ca="1" si="24"/>
        <v>#DIV/0!</v>
      </c>
    </row>
    <row r="297" spans="1:19">
      <c r="A297" s="2" t="s">
        <v>353</v>
      </c>
      <c r="B297" s="2" t="s">
        <v>14</v>
      </c>
      <c r="C297" s="25">
        <v>45699</v>
      </c>
      <c r="D297" s="2" t="s">
        <v>58</v>
      </c>
      <c r="E297" s="2">
        <v>3440</v>
      </c>
      <c r="F297" s="2">
        <v>13</v>
      </c>
      <c r="G297" s="2">
        <v>20</v>
      </c>
      <c r="H297" s="3">
        <v>58480</v>
      </c>
      <c r="I297" s="2">
        <v>58146</v>
      </c>
      <c r="J297" s="3">
        <v>210</v>
      </c>
      <c r="K297" s="2" t="s">
        <v>25</v>
      </c>
      <c r="L297" s="2" t="s">
        <v>381</v>
      </c>
      <c r="M297" s="2" t="s">
        <v>416</v>
      </c>
      <c r="N297" s="2" t="s">
        <v>32</v>
      </c>
      <c r="O297" s="12">
        <f t="shared" si="20"/>
        <v>5.938782489740082</v>
      </c>
      <c r="P297" t="str">
        <f t="shared" si="21"/>
        <v>Before</v>
      </c>
      <c r="Q297" s="11">
        <f t="shared" ca="1" si="22"/>
        <v>11.667729216597859</v>
      </c>
      <c r="R297" s="11" t="e">
        <f t="shared" ca="1" si="23"/>
        <v>#DIV/0!</v>
      </c>
      <c r="S297" s="35" t="e">
        <f t="shared" ca="1" si="24"/>
        <v>#DIV/0!</v>
      </c>
    </row>
    <row r="298" spans="1:19">
      <c r="A298" s="2" t="s">
        <v>354</v>
      </c>
      <c r="B298" s="2" t="s">
        <v>14</v>
      </c>
      <c r="C298" s="25">
        <v>45650</v>
      </c>
      <c r="D298" s="2" t="s">
        <v>19</v>
      </c>
      <c r="E298" s="2">
        <v>2166</v>
      </c>
      <c r="F298" s="2">
        <v>354</v>
      </c>
      <c r="G298" s="2">
        <v>117</v>
      </c>
      <c r="H298" s="3">
        <v>10830</v>
      </c>
      <c r="I298" s="2">
        <v>10245</v>
      </c>
      <c r="J298" s="3">
        <v>24</v>
      </c>
      <c r="K298" s="2" t="s">
        <v>31</v>
      </c>
      <c r="L298" s="2" t="s">
        <v>416</v>
      </c>
      <c r="M298" s="2" t="s">
        <v>416</v>
      </c>
      <c r="N298" s="2" t="s">
        <v>32</v>
      </c>
      <c r="O298" s="12">
        <f t="shared" si="20"/>
        <v>24.349030470914126</v>
      </c>
      <c r="P298" t="str">
        <f t="shared" si="21"/>
        <v>Before</v>
      </c>
      <c r="Q298" s="11">
        <f t="shared" ca="1" si="22"/>
        <v>13.099965898312306</v>
      </c>
      <c r="R298" s="11" t="e">
        <f t="shared" ca="1" si="23"/>
        <v>#DIV/0!</v>
      </c>
      <c r="S298" s="35" t="e">
        <f t="shared" ca="1" si="24"/>
        <v>#DIV/0!</v>
      </c>
    </row>
    <row r="299" spans="1:19">
      <c r="A299" s="2" t="s">
        <v>355</v>
      </c>
      <c r="B299" s="2" t="s">
        <v>36</v>
      </c>
      <c r="C299" s="25">
        <v>45589</v>
      </c>
      <c r="D299" s="2" t="s">
        <v>43</v>
      </c>
      <c r="E299" s="2">
        <v>4303</v>
      </c>
      <c r="F299" s="2">
        <v>451</v>
      </c>
      <c r="G299" s="2">
        <v>286</v>
      </c>
      <c r="H299" s="3">
        <v>86060</v>
      </c>
      <c r="I299" s="2">
        <v>85823</v>
      </c>
      <c r="J299" s="3">
        <v>14</v>
      </c>
      <c r="K299" s="2" t="s">
        <v>25</v>
      </c>
      <c r="L299" s="2" t="s">
        <v>416</v>
      </c>
      <c r="M299" s="2" t="s">
        <v>416</v>
      </c>
      <c r="N299" s="2" t="s">
        <v>26</v>
      </c>
      <c r="O299" s="12">
        <f t="shared" si="20"/>
        <v>5.8563792702765518</v>
      </c>
      <c r="P299" t="str">
        <f t="shared" si="21"/>
        <v>Before</v>
      </c>
      <c r="Q299" s="11">
        <f t="shared" ca="1" si="22"/>
        <v>9.3502777074450307</v>
      </c>
      <c r="R299" s="11" t="e">
        <f t="shared" ca="1" si="23"/>
        <v>#DIV/0!</v>
      </c>
      <c r="S299" s="35" t="e">
        <f t="shared" ca="1" si="24"/>
        <v>#DIV/0!</v>
      </c>
    </row>
    <row r="300" spans="1:19">
      <c r="A300" s="2" t="s">
        <v>356</v>
      </c>
      <c r="B300" s="2" t="s">
        <v>36</v>
      </c>
      <c r="C300" s="25">
        <v>45530</v>
      </c>
      <c r="D300" s="2" t="s">
        <v>43</v>
      </c>
      <c r="E300" s="2">
        <v>2581</v>
      </c>
      <c r="F300" s="2">
        <v>517</v>
      </c>
      <c r="G300" s="2">
        <v>117</v>
      </c>
      <c r="H300" s="3">
        <v>23229</v>
      </c>
      <c r="I300" s="2">
        <v>22331</v>
      </c>
      <c r="J300" s="3">
        <v>70</v>
      </c>
      <c r="K300" s="2" t="s">
        <v>50</v>
      </c>
      <c r="L300" s="2" t="s">
        <v>416</v>
      </c>
      <c r="M300" s="2" t="s">
        <v>416</v>
      </c>
      <c r="N300" s="2" t="s">
        <v>26</v>
      </c>
      <c r="O300" s="12">
        <f t="shared" si="20"/>
        <v>13.840458048129491</v>
      </c>
      <c r="P300" t="str">
        <f t="shared" si="21"/>
        <v>Before</v>
      </c>
      <c r="Q300" s="11">
        <f t="shared" ca="1" si="22"/>
        <v>11.09722692602927</v>
      </c>
      <c r="R300" s="11" t="e">
        <f t="shared" ca="1" si="23"/>
        <v>#DIV/0!</v>
      </c>
      <c r="S300" s="35" t="e">
        <f t="shared" ca="1" si="24"/>
        <v>#DIV/0!</v>
      </c>
    </row>
    <row r="301" spans="1:19">
      <c r="A301" s="2" t="s">
        <v>357</v>
      </c>
      <c r="B301" s="2" t="s">
        <v>14</v>
      </c>
      <c r="C301" s="25">
        <v>45535</v>
      </c>
      <c r="D301" s="2" t="s">
        <v>38</v>
      </c>
      <c r="E301" s="2">
        <v>4494</v>
      </c>
      <c r="F301" s="2">
        <v>717</v>
      </c>
      <c r="G301" s="2">
        <v>45</v>
      </c>
      <c r="H301" s="3">
        <v>62916</v>
      </c>
      <c r="I301" s="2">
        <v>62688</v>
      </c>
      <c r="J301" s="3">
        <v>191</v>
      </c>
      <c r="K301" s="2" t="s">
        <v>25</v>
      </c>
      <c r="L301" s="2" t="s">
        <v>31</v>
      </c>
      <c r="M301" s="2" t="s">
        <v>387</v>
      </c>
      <c r="N301" s="2" t="s">
        <v>17</v>
      </c>
      <c r="O301" s="12">
        <f t="shared" si="20"/>
        <v>8.3539958039290489</v>
      </c>
      <c r="P301" t="str">
        <f t="shared" si="21"/>
        <v>Before</v>
      </c>
      <c r="Q301" s="11">
        <f t="shared" ca="1" si="22"/>
        <v>8.3539958039290489</v>
      </c>
      <c r="R301" s="11" t="e">
        <f t="shared" ca="1" si="23"/>
        <v>#DIV/0!</v>
      </c>
      <c r="S301" s="35" t="e">
        <f t="shared" ca="1" si="24"/>
        <v>#DIV/0!</v>
      </c>
    </row>
  </sheetData>
  <conditionalFormatting sqref="P1:U1 K1:M1048576">
    <cfRule type="top10" dxfId="48" priority="7" rank="10"/>
    <cfRule type="top10" dxfId="47" priority="8" rank="10"/>
  </conditionalFormatting>
  <conditionalFormatting sqref="O1:O1048576">
    <cfRule type="top10" dxfId="46" priority="11" rank="10"/>
    <cfRule type="top10" dxfId="45" priority="12" rank="10"/>
    <cfRule type="top10" dxfId="44" priority="13" rank="10"/>
    <cfRule type="top10" dxfId="43" priority="14" rank="10"/>
    <cfRule type="top10" dxfId="42" priority="15" rank="10"/>
    <cfRule type="top10" dxfId="41" priority="16" rank="10"/>
  </conditionalFormatting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J13" sqref="J13"/>
    </sheetView>
  </sheetViews>
  <sheetFormatPr defaultRowHeight="14.4"/>
  <cols>
    <col min="1" max="1" width="16" bestFit="1" customWidth="1"/>
    <col min="2" max="2" width="13.6640625" bestFit="1" customWidth="1"/>
  </cols>
  <sheetData>
    <row r="3" spans="1:2">
      <c r="A3" s="7" t="s">
        <v>12</v>
      </c>
      <c r="B3" t="s">
        <v>420</v>
      </c>
    </row>
    <row r="4" spans="1:2">
      <c r="A4" s="8" t="s">
        <v>17</v>
      </c>
      <c r="B4" s="11">
        <v>4.4517295851588201E-2</v>
      </c>
    </row>
    <row r="5" spans="1:2">
      <c r="A5" s="8" t="s">
        <v>26</v>
      </c>
      <c r="B5" s="11">
        <v>3.2787380231679181E-2</v>
      </c>
    </row>
    <row r="6" spans="1:2">
      <c r="A6" s="8" t="s">
        <v>21</v>
      </c>
      <c r="B6" s="11">
        <v>3.0899517865735332E-2</v>
      </c>
    </row>
    <row r="7" spans="1:2">
      <c r="A7" s="37" t="s">
        <v>32</v>
      </c>
      <c r="B7" s="38">
        <v>5.3203004120665247E-2</v>
      </c>
    </row>
    <row r="8" spans="1:2">
      <c r="A8" s="8" t="s">
        <v>388</v>
      </c>
      <c r="B8" s="11"/>
    </row>
    <row r="9" spans="1:2">
      <c r="A9" s="8" t="s">
        <v>389</v>
      </c>
      <c r="B9" s="11">
        <v>4.0351799517416971E-2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3:B9"/>
  <sheetViews>
    <sheetView topLeftCell="A2" workbookViewId="0">
      <selection activeCell="K32" sqref="K32"/>
    </sheetView>
  </sheetViews>
  <sheetFormatPr defaultRowHeight="14.4"/>
  <cols>
    <col min="1" max="1" width="16" customWidth="1"/>
    <col min="2" max="2" width="30.21875" bestFit="1" customWidth="1"/>
  </cols>
  <sheetData>
    <row r="3" spans="1:2">
      <c r="A3" s="7" t="s">
        <v>12</v>
      </c>
      <c r="B3" t="s">
        <v>402</v>
      </c>
    </row>
    <row r="4" spans="1:2">
      <c r="A4" s="39" t="s">
        <v>17</v>
      </c>
      <c r="B4" s="40">
        <v>0.92800256766213385</v>
      </c>
    </row>
    <row r="5" spans="1:2">
      <c r="A5" s="8" t="s">
        <v>26</v>
      </c>
      <c r="B5" s="11">
        <v>0.90210666313360066</v>
      </c>
    </row>
    <row r="6" spans="1:2">
      <c r="A6" s="8" t="s">
        <v>21</v>
      </c>
      <c r="B6" s="11">
        <v>0.54649906832972628</v>
      </c>
    </row>
    <row r="7" spans="1:2">
      <c r="A7" s="8" t="s">
        <v>32</v>
      </c>
      <c r="B7" s="11">
        <v>0.57625321264951812</v>
      </c>
    </row>
    <row r="8" spans="1:2">
      <c r="A8" s="8" t="s">
        <v>388</v>
      </c>
      <c r="B8" s="11"/>
    </row>
    <row r="9" spans="1:2">
      <c r="A9" s="8" t="s">
        <v>389</v>
      </c>
      <c r="B9" s="11">
        <v>0.73821537794374459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3:G56"/>
  <sheetViews>
    <sheetView topLeftCell="A2" zoomScale="85" zoomScaleNormal="85" workbookViewId="0">
      <selection activeCell="A5" sqref="A5"/>
    </sheetView>
  </sheetViews>
  <sheetFormatPr defaultRowHeight="14.4"/>
  <cols>
    <col min="1" max="1" width="30.21875" bestFit="1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7" bestFit="1" customWidth="1"/>
    <col min="7" max="7" width="10.77734375" bestFit="1" customWidth="1"/>
  </cols>
  <sheetData>
    <row r="3" spans="1:7">
      <c r="A3" s="7" t="s">
        <v>402</v>
      </c>
      <c r="B3" s="7" t="s">
        <v>391</v>
      </c>
    </row>
    <row r="4" spans="1:7">
      <c r="A4" s="7" t="s">
        <v>422</v>
      </c>
      <c r="B4" t="s">
        <v>36</v>
      </c>
      <c r="C4" t="s">
        <v>28</v>
      </c>
      <c r="D4" t="s">
        <v>14</v>
      </c>
      <c r="E4" t="s">
        <v>23</v>
      </c>
      <c r="F4" t="s">
        <v>388</v>
      </c>
      <c r="G4" t="s">
        <v>389</v>
      </c>
    </row>
    <row r="5" spans="1:7">
      <c r="A5" s="27">
        <v>45446</v>
      </c>
      <c r="B5" s="11">
        <v>2.3491348994232664</v>
      </c>
      <c r="C5" s="11">
        <v>0.30428616268120573</v>
      </c>
      <c r="D5" s="11">
        <v>0.28263208793603661</v>
      </c>
      <c r="E5" s="11">
        <v>0.27557542170624166</v>
      </c>
      <c r="F5" s="11"/>
      <c r="G5" s="11">
        <v>0.80290714293668763</v>
      </c>
    </row>
    <row r="6" spans="1:7">
      <c r="A6" s="27">
        <v>45453</v>
      </c>
      <c r="B6" s="11">
        <v>0.40530081660374973</v>
      </c>
      <c r="C6" s="11">
        <v>1.0517322049758935</v>
      </c>
      <c r="D6" s="11">
        <v>7.3128442639386351E-2</v>
      </c>
      <c r="E6" s="11">
        <v>0.24016739232334167</v>
      </c>
      <c r="F6" s="11"/>
      <c r="G6" s="11">
        <v>0.44258221413559279</v>
      </c>
    </row>
    <row r="7" spans="1:7">
      <c r="A7" s="27">
        <v>45460</v>
      </c>
      <c r="B7" s="11">
        <v>0.8153584745362723</v>
      </c>
      <c r="C7" s="11">
        <v>0.19542790614208244</v>
      </c>
      <c r="D7" s="11">
        <v>1.0551445425805821</v>
      </c>
      <c r="E7" s="11">
        <v>8.8023800381871797E-2</v>
      </c>
      <c r="F7" s="11"/>
      <c r="G7" s="11">
        <v>0.53848868091020208</v>
      </c>
    </row>
    <row r="8" spans="1:7">
      <c r="A8" s="27">
        <v>45467</v>
      </c>
      <c r="B8" s="11">
        <v>6.3510173036698996</v>
      </c>
      <c r="C8" s="11">
        <v>1.7636832660385824</v>
      </c>
      <c r="D8" s="11">
        <v>0.27980604582117208</v>
      </c>
      <c r="E8" s="11">
        <v>-2.8860773750305036E-2</v>
      </c>
      <c r="F8" s="11"/>
      <c r="G8" s="11">
        <v>2.0914114604448373</v>
      </c>
    </row>
    <row r="9" spans="1:7">
      <c r="A9" s="27">
        <v>45474</v>
      </c>
      <c r="B9" s="11">
        <v>2.9088264703208796E-2</v>
      </c>
      <c r="C9" s="11">
        <v>-5.2211602419375981E-2</v>
      </c>
      <c r="D9" s="11">
        <v>0.4303769366169265</v>
      </c>
      <c r="E9" s="11">
        <v>8.0050669434719113E-2</v>
      </c>
      <c r="F9" s="11"/>
      <c r="G9" s="11">
        <v>0.1218260670838696</v>
      </c>
    </row>
    <row r="10" spans="1:7">
      <c r="A10" s="27">
        <v>45481</v>
      </c>
      <c r="B10" s="11">
        <v>0.12276812319721568</v>
      </c>
      <c r="C10" s="11">
        <v>2.8717173625543171</v>
      </c>
      <c r="D10" s="11">
        <v>0.140324773607655</v>
      </c>
      <c r="E10" s="11">
        <v>0.21994574101175038</v>
      </c>
      <c r="F10" s="11"/>
      <c r="G10" s="11">
        <v>0.8386890000927345</v>
      </c>
    </row>
    <row r="11" spans="1:7">
      <c r="A11" s="27">
        <v>45488</v>
      </c>
      <c r="B11" s="11">
        <v>-4.9009939454794309E-2</v>
      </c>
      <c r="C11" s="11">
        <v>1.1967386439556591</v>
      </c>
      <c r="D11" s="11">
        <v>0.18982132901478749</v>
      </c>
      <c r="E11" s="11">
        <v>0.10211701333265255</v>
      </c>
      <c r="F11" s="11"/>
      <c r="G11" s="11">
        <v>0.35991676171207621</v>
      </c>
    </row>
    <row r="12" spans="1:7">
      <c r="A12" s="27">
        <v>45495</v>
      </c>
      <c r="B12" s="11">
        <v>0.32572737872501967</v>
      </c>
      <c r="C12" s="11">
        <v>3.3557613568250697E-2</v>
      </c>
      <c r="D12" s="11">
        <v>0.66371458255580551</v>
      </c>
      <c r="E12" s="11">
        <v>0.10340418313957282</v>
      </c>
      <c r="F12" s="11"/>
      <c r="G12" s="11">
        <v>0.28160093949716219</v>
      </c>
    </row>
    <row r="13" spans="1:7">
      <c r="A13" s="27">
        <v>45502</v>
      </c>
      <c r="B13" s="11">
        <v>-7.309773488968678E-2</v>
      </c>
      <c r="C13" s="11">
        <v>2.2861730899256254</v>
      </c>
      <c r="D13" s="11">
        <v>0.51986619096302167</v>
      </c>
      <c r="E13" s="11">
        <v>0.76001216019456308</v>
      </c>
      <c r="F13" s="11"/>
      <c r="G13" s="11">
        <v>0.87323842654838091</v>
      </c>
    </row>
    <row r="14" spans="1:7">
      <c r="A14" s="27">
        <v>45509</v>
      </c>
      <c r="B14" s="11">
        <v>-0.15755714445670779</v>
      </c>
      <c r="C14" s="11">
        <v>8.0371168669857163E-2</v>
      </c>
      <c r="D14" s="11">
        <v>7.2889860753698937E-2</v>
      </c>
      <c r="E14" s="11">
        <v>9.9485420240137221E-2</v>
      </c>
      <c r="F14" s="11"/>
      <c r="G14" s="11">
        <v>2.3797326301746382E-2</v>
      </c>
    </row>
    <row r="15" spans="1:7">
      <c r="A15" s="27">
        <v>45516</v>
      </c>
      <c r="B15" s="11">
        <v>0.43366318609156984</v>
      </c>
      <c r="C15" s="11">
        <v>0.27085701202809553</v>
      </c>
      <c r="D15" s="11">
        <v>8.5080354946042956E-3</v>
      </c>
      <c r="E15" s="11">
        <v>1.011348268360087</v>
      </c>
      <c r="F15" s="11"/>
      <c r="G15" s="11">
        <v>0.43109412549358916</v>
      </c>
    </row>
    <row r="16" spans="1:7">
      <c r="A16" s="27">
        <v>45523</v>
      </c>
      <c r="B16" s="11">
        <v>0.57523759813836151</v>
      </c>
      <c r="C16" s="11">
        <v>2.335271198731579E-2</v>
      </c>
      <c r="D16" s="11">
        <v>0.88256340939810773</v>
      </c>
      <c r="E16" s="11">
        <v>0.21728440241071326</v>
      </c>
      <c r="F16" s="11"/>
      <c r="G16" s="11">
        <v>0.42460953048362454</v>
      </c>
    </row>
    <row r="17" spans="1:7">
      <c r="A17" s="27">
        <v>45530</v>
      </c>
      <c r="B17" s="11">
        <v>9.7527544941747053E-3</v>
      </c>
      <c r="C17" s="11">
        <v>0.35456226214689768</v>
      </c>
      <c r="D17" s="11">
        <v>0.65914381026955704</v>
      </c>
      <c r="E17" s="11">
        <v>1.1713324743561855E-2</v>
      </c>
      <c r="F17" s="11"/>
      <c r="G17" s="11">
        <v>0.25879303791354785</v>
      </c>
    </row>
    <row r="18" spans="1:7">
      <c r="A18" s="27">
        <v>45537</v>
      </c>
      <c r="B18" s="11">
        <v>0.21026918479944948</v>
      </c>
      <c r="C18" s="11">
        <v>1.2306082974775983</v>
      </c>
      <c r="D18" s="11">
        <v>6.1798299135137513E-2</v>
      </c>
      <c r="E18" s="11">
        <v>8.9764429025449427E-2</v>
      </c>
      <c r="F18" s="11"/>
      <c r="G18" s="11">
        <v>0.39811005260940868</v>
      </c>
    </row>
    <row r="19" spans="1:7">
      <c r="A19" s="27">
        <v>45544</v>
      </c>
      <c r="B19" s="11">
        <v>0.46435400163889645</v>
      </c>
      <c r="C19" s="11">
        <v>0.41581361392816901</v>
      </c>
      <c r="D19" s="11">
        <v>5.990134708914012E-2</v>
      </c>
      <c r="E19" s="11">
        <v>1.703234597339857</v>
      </c>
      <c r="F19" s="11"/>
      <c r="G19" s="11">
        <v>0.66082588999901559</v>
      </c>
    </row>
    <row r="20" spans="1:7">
      <c r="A20" s="27">
        <v>45551</v>
      </c>
      <c r="B20" s="11">
        <v>2.0668041724136478E-2</v>
      </c>
      <c r="C20" s="11">
        <v>0.74222825979957874</v>
      </c>
      <c r="D20" s="11">
        <v>0.2867301296020186</v>
      </c>
      <c r="E20" s="11">
        <v>-2.6681341404439108E-2</v>
      </c>
      <c r="F20" s="11"/>
      <c r="G20" s="11">
        <v>0.25573627243032365</v>
      </c>
    </row>
    <row r="21" spans="1:7">
      <c r="A21" s="27">
        <v>45558</v>
      </c>
      <c r="B21" s="11">
        <v>-7.924822629956663E-3</v>
      </c>
      <c r="C21" s="11">
        <v>0.15758651286601597</v>
      </c>
      <c r="D21" s="11">
        <v>0.62566104068286432</v>
      </c>
      <c r="E21" s="11">
        <v>1.592351646960128</v>
      </c>
      <c r="F21" s="11"/>
      <c r="G21" s="11">
        <v>0.59191859446976292</v>
      </c>
    </row>
    <row r="22" spans="1:7">
      <c r="A22" s="27">
        <v>45565</v>
      </c>
      <c r="B22" s="11">
        <v>-3.9477485703195474E-2</v>
      </c>
      <c r="C22" s="11">
        <v>0.27682576721248608</v>
      </c>
      <c r="D22" s="11">
        <v>0.92287307798970819</v>
      </c>
      <c r="E22" s="11">
        <v>1.8079694785926241</v>
      </c>
      <c r="F22" s="11"/>
      <c r="G22" s="11">
        <v>0.74204770952290566</v>
      </c>
    </row>
    <row r="23" spans="1:7">
      <c r="A23" s="27">
        <v>45572</v>
      </c>
      <c r="B23" s="11">
        <v>0.43810281972675247</v>
      </c>
      <c r="C23" s="11">
        <v>1.000090820213374</v>
      </c>
      <c r="D23" s="11">
        <v>2.2456063766826309E-2</v>
      </c>
      <c r="E23" s="11">
        <v>0.10019784829366461</v>
      </c>
      <c r="F23" s="11"/>
      <c r="G23" s="11">
        <v>0.39021188800015433</v>
      </c>
    </row>
    <row r="24" spans="1:7">
      <c r="A24" s="27">
        <v>45579</v>
      </c>
      <c r="B24" s="11">
        <v>0.18083871090552606</v>
      </c>
      <c r="C24" s="11">
        <v>0.31501331857780751</v>
      </c>
      <c r="D24" s="11">
        <v>-6.4563614529395824E-3</v>
      </c>
      <c r="E24" s="11">
        <v>0.18425729749269498</v>
      </c>
      <c r="F24" s="11"/>
      <c r="G24" s="11">
        <v>0.16841324138077224</v>
      </c>
    </row>
    <row r="25" spans="1:7">
      <c r="A25" s="27">
        <v>45586</v>
      </c>
      <c r="B25" s="11">
        <v>1.8687212668142346</v>
      </c>
      <c r="C25" s="11">
        <v>7.3371064356504964E-2</v>
      </c>
      <c r="D25" s="11">
        <v>0.24623771231227276</v>
      </c>
      <c r="E25" s="11">
        <v>0.57763419096181545</v>
      </c>
      <c r="F25" s="11"/>
      <c r="G25" s="11">
        <v>0.69149105861120697</v>
      </c>
    </row>
    <row r="26" spans="1:7">
      <c r="A26" s="27">
        <v>45593</v>
      </c>
      <c r="B26" s="11">
        <v>0.18382090319876945</v>
      </c>
      <c r="C26" s="11">
        <v>0.166223212379012</v>
      </c>
      <c r="D26" s="11">
        <v>1.5381417584701726E-2</v>
      </c>
      <c r="E26" s="11">
        <v>0.54180958515762179</v>
      </c>
      <c r="F26" s="11"/>
      <c r="G26" s="11">
        <v>0.22680877958002627</v>
      </c>
    </row>
    <row r="27" spans="1:7">
      <c r="A27" s="27">
        <v>45600</v>
      </c>
      <c r="B27" s="11">
        <v>0.16918035252172714</v>
      </c>
      <c r="C27" s="11">
        <v>2.5430053699827071</v>
      </c>
      <c r="D27" s="11">
        <v>0.36508153411678962</v>
      </c>
      <c r="E27" s="11">
        <v>0.40317597627286211</v>
      </c>
      <c r="F27" s="11"/>
      <c r="G27" s="11">
        <v>0.87011080822352149</v>
      </c>
    </row>
    <row r="28" spans="1:7">
      <c r="A28" s="27">
        <v>45607</v>
      </c>
      <c r="B28" s="11">
        <v>-3.4250669665215859E-2</v>
      </c>
      <c r="C28" s="11">
        <v>1.7550345364335054</v>
      </c>
      <c r="D28" s="11">
        <v>1.3172212358971422</v>
      </c>
      <c r="E28" s="11">
        <v>0.28821299683708945</v>
      </c>
      <c r="F28" s="11"/>
      <c r="G28" s="11">
        <v>0.83155452487563031</v>
      </c>
    </row>
    <row r="29" spans="1:7">
      <c r="A29" s="27">
        <v>45614</v>
      </c>
      <c r="B29" s="11">
        <v>2.124852809675163E-2</v>
      </c>
      <c r="C29" s="11">
        <v>-9.5914811987394058E-2</v>
      </c>
      <c r="D29" s="11">
        <v>9.1277744844858608E-2</v>
      </c>
      <c r="E29" s="11">
        <v>1.9887634863023914E-2</v>
      </c>
      <c r="F29" s="11"/>
      <c r="G29" s="11">
        <v>9.1247739543100261E-3</v>
      </c>
    </row>
    <row r="30" spans="1:7">
      <c r="A30" s="27">
        <v>45621</v>
      </c>
      <c r="B30" s="11">
        <v>0.39565022381564841</v>
      </c>
      <c r="C30" s="11">
        <v>0.59936417126309005</v>
      </c>
      <c r="D30" s="11">
        <v>0.11079079758069074</v>
      </c>
      <c r="E30" s="11">
        <v>1.4152074838090669</v>
      </c>
      <c r="F30" s="11"/>
      <c r="G30" s="11">
        <v>0.63025316911712403</v>
      </c>
    </row>
    <row r="31" spans="1:7">
      <c r="A31" s="27">
        <v>45628</v>
      </c>
      <c r="B31" s="11">
        <v>0.36277109484146308</v>
      </c>
      <c r="C31" s="11">
        <v>0.38511033114748661</v>
      </c>
      <c r="D31" s="11">
        <v>0.37850431101244258</v>
      </c>
      <c r="E31" s="11">
        <v>0.13151115811166245</v>
      </c>
      <c r="F31" s="11"/>
      <c r="G31" s="11">
        <v>0.31447422377826367</v>
      </c>
    </row>
    <row r="32" spans="1:7">
      <c r="A32" s="27">
        <v>45635</v>
      </c>
      <c r="B32" s="11">
        <v>3.8307014117515763</v>
      </c>
      <c r="C32" s="11">
        <v>0.5072161583928636</v>
      </c>
      <c r="D32" s="11">
        <v>8.3806473528412688</v>
      </c>
      <c r="E32" s="11">
        <v>0.12679964770499277</v>
      </c>
      <c r="F32" s="11"/>
      <c r="G32" s="11">
        <v>3.2113411426726755</v>
      </c>
    </row>
    <row r="33" spans="1:7">
      <c r="A33" s="27">
        <v>45642</v>
      </c>
      <c r="B33" s="11">
        <v>0.33115688467227011</v>
      </c>
      <c r="C33" s="11">
        <v>0.30759118725472717</v>
      </c>
      <c r="D33" s="11">
        <v>0.41536387893013998</v>
      </c>
      <c r="E33" s="11">
        <v>0.17917737946946316</v>
      </c>
      <c r="F33" s="11"/>
      <c r="G33" s="11">
        <v>0.30832233258165009</v>
      </c>
    </row>
    <row r="34" spans="1:7">
      <c r="A34" s="27">
        <v>45649</v>
      </c>
      <c r="B34" s="11">
        <v>0.78202834584935776</v>
      </c>
      <c r="C34" s="11">
        <v>0.24359408109118752</v>
      </c>
      <c r="D34" s="11">
        <v>1.123041457611657</v>
      </c>
      <c r="E34" s="11">
        <v>6.3113158835445047</v>
      </c>
      <c r="F34" s="11"/>
      <c r="G34" s="11">
        <v>2.1149949420241767</v>
      </c>
    </row>
    <row r="35" spans="1:7">
      <c r="A35" s="27">
        <v>45656</v>
      </c>
      <c r="B35" s="11">
        <v>0.46806929323118035</v>
      </c>
      <c r="C35" s="11">
        <v>1.2535155251271271</v>
      </c>
      <c r="D35" s="11">
        <v>0.55634189738421069</v>
      </c>
      <c r="E35" s="11">
        <v>1.0669005078738718</v>
      </c>
      <c r="F35" s="11"/>
      <c r="G35" s="11">
        <v>0.83620680590409746</v>
      </c>
    </row>
    <row r="36" spans="1:7">
      <c r="A36" s="27">
        <v>45663</v>
      </c>
      <c r="B36" s="11">
        <v>0.64766839378238339</v>
      </c>
      <c r="C36" s="11">
        <v>0.19361810704529764</v>
      </c>
      <c r="D36" s="11">
        <v>0.32008104408927779</v>
      </c>
      <c r="E36" s="11">
        <v>0.88669950738916259</v>
      </c>
      <c r="F36" s="11"/>
      <c r="G36" s="11">
        <v>0.51201676307653043</v>
      </c>
    </row>
    <row r="37" spans="1:7">
      <c r="A37" s="27">
        <v>45670</v>
      </c>
      <c r="B37" s="11">
        <v>0.13262186302564766</v>
      </c>
      <c r="C37" s="11">
        <v>0.49282654051223052</v>
      </c>
      <c r="D37" s="11">
        <v>-2.9514486693885584E-2</v>
      </c>
      <c r="E37" s="11">
        <v>6.2409087760615085</v>
      </c>
      <c r="F37" s="11"/>
      <c r="G37" s="11">
        <v>1.7092106732263752</v>
      </c>
    </row>
    <row r="38" spans="1:7">
      <c r="A38" s="27">
        <v>45677</v>
      </c>
      <c r="B38" s="11">
        <v>8.905295209493419E-2</v>
      </c>
      <c r="C38" s="11">
        <v>0.40971536250166152</v>
      </c>
      <c r="D38" s="11">
        <v>0.71621491270377158</v>
      </c>
      <c r="E38" s="11">
        <v>0.2148693125665902</v>
      </c>
      <c r="F38" s="11"/>
      <c r="G38" s="11">
        <v>0.35746313496673937</v>
      </c>
    </row>
    <row r="39" spans="1:7">
      <c r="A39" s="27">
        <v>45684</v>
      </c>
      <c r="B39" s="11">
        <v>0.27948348464241363</v>
      </c>
      <c r="C39" s="11">
        <v>-4.6464109274628081E-2</v>
      </c>
      <c r="D39" s="11">
        <v>0.54309533874905258</v>
      </c>
      <c r="E39" s="11">
        <v>0.26534161921203286</v>
      </c>
      <c r="F39" s="11"/>
      <c r="G39" s="11">
        <v>0.26036408333221772</v>
      </c>
    </row>
    <row r="40" spans="1:7">
      <c r="A40" s="27">
        <v>45691</v>
      </c>
      <c r="B40" s="11">
        <v>0.5500525785553031</v>
      </c>
      <c r="C40" s="11">
        <v>0.30720567989168157</v>
      </c>
      <c r="D40" s="11">
        <v>0.32046588643454949</v>
      </c>
      <c r="E40" s="11">
        <v>-7.4972485467156139E-2</v>
      </c>
      <c r="F40" s="11"/>
      <c r="G40" s="11">
        <v>0.27568791485359451</v>
      </c>
    </row>
    <row r="41" spans="1:7">
      <c r="A41" s="27">
        <v>45698</v>
      </c>
      <c r="B41" s="11">
        <v>0.29427518601934727</v>
      </c>
      <c r="C41" s="11">
        <v>0.77568587198256844</v>
      </c>
      <c r="D41" s="11">
        <v>0.94958208908059605</v>
      </c>
      <c r="E41" s="11">
        <v>0.29756017144741181</v>
      </c>
      <c r="F41" s="11"/>
      <c r="G41" s="11">
        <v>0.57927582963248081</v>
      </c>
    </row>
    <row r="42" spans="1:7">
      <c r="A42" s="27">
        <v>45705</v>
      </c>
      <c r="B42" s="11">
        <v>1.5147617822744293</v>
      </c>
      <c r="C42" s="11">
        <v>0.21291007252180397</v>
      </c>
      <c r="D42" s="11">
        <v>-2.5410691720235155E-2</v>
      </c>
      <c r="E42" s="11">
        <v>1.1086997546706925</v>
      </c>
      <c r="F42" s="11"/>
      <c r="G42" s="11">
        <v>0.70274022943667269</v>
      </c>
    </row>
    <row r="43" spans="1:7">
      <c r="A43" s="27">
        <v>45712</v>
      </c>
      <c r="B43" s="11">
        <v>0.74073109768798173</v>
      </c>
      <c r="C43" s="11">
        <v>1.08675033985647</v>
      </c>
      <c r="D43" s="11">
        <v>0.22333891680625351</v>
      </c>
      <c r="E43" s="11">
        <v>0.21885278918832757</v>
      </c>
      <c r="F43" s="11"/>
      <c r="G43" s="11">
        <v>0.56741828588475818</v>
      </c>
    </row>
    <row r="44" spans="1:7">
      <c r="A44" s="27">
        <v>45719</v>
      </c>
      <c r="B44" s="11">
        <v>-3.2435585380545737E-2</v>
      </c>
      <c r="C44" s="11">
        <v>0.51052298518124528</v>
      </c>
      <c r="D44" s="11">
        <v>0.19268070513850935</v>
      </c>
      <c r="E44" s="11">
        <v>0.14029055733207443</v>
      </c>
      <c r="F44" s="11"/>
      <c r="G44" s="11">
        <v>0.20276466556782083</v>
      </c>
    </row>
    <row r="45" spans="1:7">
      <c r="A45" s="27">
        <v>45726</v>
      </c>
      <c r="B45" s="11">
        <v>0.26639909400836753</v>
      </c>
      <c r="C45" s="11">
        <v>4.5873346287504703E-2</v>
      </c>
      <c r="D45" s="11">
        <v>10.825114265095021</v>
      </c>
      <c r="E45" s="11">
        <v>1.2622336046830696</v>
      </c>
      <c r="F45" s="11"/>
      <c r="G45" s="11">
        <v>3.0999050775184909</v>
      </c>
    </row>
    <row r="46" spans="1:7">
      <c r="A46" s="27">
        <v>45733</v>
      </c>
      <c r="B46" s="11">
        <v>0.32619275185675578</v>
      </c>
      <c r="C46" s="11">
        <v>0.16572027392586453</v>
      </c>
      <c r="D46" s="11">
        <v>6.9173294769824052</v>
      </c>
      <c r="E46" s="11">
        <v>7.9689298043728432</v>
      </c>
      <c r="F46" s="11"/>
      <c r="G46" s="11">
        <v>3.8445430767844671</v>
      </c>
    </row>
    <row r="47" spans="1:7">
      <c r="A47" s="27">
        <v>45740</v>
      </c>
      <c r="B47" s="11">
        <v>0.1268716241173857</v>
      </c>
      <c r="C47" s="11">
        <v>0.12636715002329982</v>
      </c>
      <c r="D47" s="11">
        <v>0.13832962243592781</v>
      </c>
      <c r="E47" s="11">
        <v>8.8022790888170319E-2</v>
      </c>
      <c r="F47" s="11"/>
      <c r="G47" s="11">
        <v>0.11989779686619592</v>
      </c>
    </row>
    <row r="48" spans="1:7">
      <c r="A48" s="27">
        <v>45747</v>
      </c>
      <c r="B48" s="11">
        <v>0.13889264193260734</v>
      </c>
      <c r="C48" s="11">
        <v>0.22667798288422092</v>
      </c>
      <c r="D48" s="11">
        <v>0.84497101083942527</v>
      </c>
      <c r="E48" s="11">
        <v>0.33667947287974553</v>
      </c>
      <c r="F48" s="11"/>
      <c r="G48" s="11">
        <v>0.38680527713399976</v>
      </c>
    </row>
    <row r="49" spans="1:7">
      <c r="A49" s="27">
        <v>45754</v>
      </c>
      <c r="B49" s="11">
        <v>1.0436528865268369</v>
      </c>
      <c r="C49" s="11">
        <v>0.21195852212872357</v>
      </c>
      <c r="D49" s="11">
        <v>3.4032917638311533</v>
      </c>
      <c r="E49" s="11">
        <v>7.1981098934404214E-2</v>
      </c>
      <c r="F49" s="11"/>
      <c r="G49" s="11">
        <v>1.1827210678552793</v>
      </c>
    </row>
    <row r="50" spans="1:7">
      <c r="A50" s="27">
        <v>45761</v>
      </c>
      <c r="B50" s="11">
        <v>-0.24750024750024749</v>
      </c>
      <c r="C50" s="11">
        <v>-0.2399448126930806</v>
      </c>
      <c r="D50" s="11">
        <v>3.7191155522184875E-2</v>
      </c>
      <c r="E50" s="11">
        <v>3.9239564305527365E-2</v>
      </c>
      <c r="F50" s="11"/>
      <c r="G50" s="11">
        <v>-0.10275358509140396</v>
      </c>
    </row>
    <row r="51" spans="1:7">
      <c r="A51" s="27">
        <v>45768</v>
      </c>
      <c r="B51" s="11">
        <v>0.27690774864725926</v>
      </c>
      <c r="C51" s="11">
        <v>0.95802484827301337</v>
      </c>
      <c r="D51" s="11">
        <v>0.22734693021737243</v>
      </c>
      <c r="E51" s="11">
        <v>0.60267642955734835</v>
      </c>
      <c r="F51" s="11"/>
      <c r="G51" s="11">
        <v>0.51623898917374844</v>
      </c>
    </row>
    <row r="52" spans="1:7">
      <c r="A52" s="27">
        <v>45775</v>
      </c>
      <c r="B52" s="11">
        <v>0.2014855668727483</v>
      </c>
      <c r="C52" s="11">
        <v>0.34511059684624079</v>
      </c>
      <c r="D52" s="11">
        <v>0.19454574184929271</v>
      </c>
      <c r="E52" s="11">
        <v>5.5706165282028861</v>
      </c>
      <c r="F52" s="11"/>
      <c r="G52" s="11">
        <v>1.5779396084427919</v>
      </c>
    </row>
    <row r="53" spans="1:7">
      <c r="A53" s="27">
        <v>45782</v>
      </c>
      <c r="B53" s="11">
        <v>8.0965664826031306E-2</v>
      </c>
      <c r="C53" s="11">
        <v>0.41995793722733987</v>
      </c>
      <c r="D53" s="11">
        <v>0.311749015203442</v>
      </c>
      <c r="E53" s="11">
        <v>0.58190830903102841</v>
      </c>
      <c r="F53" s="11"/>
      <c r="G53" s="11">
        <v>0.34864523157196037</v>
      </c>
    </row>
    <row r="54" spans="1:7">
      <c r="A54" s="27">
        <v>45789</v>
      </c>
      <c r="B54" s="11">
        <v>0.11156186612576065</v>
      </c>
      <c r="C54" s="11">
        <v>0.35361871958419905</v>
      </c>
      <c r="D54" s="11">
        <v>5.8952701962314107E-2</v>
      </c>
      <c r="E54" s="11">
        <v>-0.4081978730104896</v>
      </c>
      <c r="F54" s="11"/>
      <c r="G54" s="11">
        <v>2.8983853665446035E-2</v>
      </c>
    </row>
    <row r="55" spans="1:7">
      <c r="A55" s="8" t="s">
        <v>388</v>
      </c>
      <c r="B55" s="11"/>
      <c r="C55" s="11"/>
      <c r="D55" s="11"/>
      <c r="E55" s="11"/>
      <c r="F55" s="11"/>
      <c r="G55" s="11"/>
    </row>
    <row r="56" spans="1:7">
      <c r="A56" s="8" t="s">
        <v>389</v>
      </c>
      <c r="B56" s="11">
        <v>0.54649906832972628</v>
      </c>
      <c r="C56" s="11">
        <v>0.57625321264951812</v>
      </c>
      <c r="D56" s="11">
        <v>0.92800256766213385</v>
      </c>
      <c r="E56" s="11">
        <v>0.90210666313360066</v>
      </c>
      <c r="F56" s="11"/>
      <c r="G56" s="11">
        <v>0.73821537794374459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3:B55"/>
  <sheetViews>
    <sheetView topLeftCell="A10" zoomScale="70" zoomScaleNormal="70" workbookViewId="0">
      <selection activeCell="J34" sqref="J34"/>
    </sheetView>
  </sheetViews>
  <sheetFormatPr defaultRowHeight="14.4"/>
  <cols>
    <col min="1" max="1" width="12.5546875" bestFit="1" customWidth="1"/>
    <col min="2" max="2" width="23.5546875" bestFit="1" customWidth="1"/>
  </cols>
  <sheetData>
    <row r="3" spans="1:2">
      <c r="A3" s="7" t="s">
        <v>358</v>
      </c>
      <c r="B3" t="s">
        <v>413</v>
      </c>
    </row>
    <row r="4" spans="1:2">
      <c r="A4" s="27">
        <v>45446</v>
      </c>
      <c r="B4" s="11">
        <v>888.5</v>
      </c>
    </row>
    <row r="5" spans="1:2">
      <c r="A5" s="27">
        <v>45453</v>
      </c>
      <c r="B5" s="11">
        <v>745</v>
      </c>
    </row>
    <row r="6" spans="1:2">
      <c r="A6" s="27">
        <v>45460</v>
      </c>
      <c r="B6" s="11">
        <v>976.75</v>
      </c>
    </row>
    <row r="7" spans="1:2">
      <c r="A7" s="27">
        <v>45467</v>
      </c>
      <c r="B7" s="11">
        <v>752.75</v>
      </c>
    </row>
    <row r="8" spans="1:2">
      <c r="A8" s="27">
        <v>45474</v>
      </c>
      <c r="B8" s="11">
        <v>323.25</v>
      </c>
    </row>
    <row r="9" spans="1:2">
      <c r="A9" s="27">
        <v>45481</v>
      </c>
      <c r="B9" s="11">
        <v>760.5</v>
      </c>
    </row>
    <row r="10" spans="1:2">
      <c r="A10" s="27">
        <v>45488</v>
      </c>
      <c r="B10" s="11">
        <v>567.5</v>
      </c>
    </row>
    <row r="11" spans="1:2">
      <c r="A11" s="27">
        <v>45495</v>
      </c>
      <c r="B11" s="11">
        <v>688.25</v>
      </c>
    </row>
    <row r="12" spans="1:2">
      <c r="A12" s="27">
        <v>45502</v>
      </c>
      <c r="B12" s="11">
        <v>548.25</v>
      </c>
    </row>
    <row r="13" spans="1:2">
      <c r="A13" s="27">
        <v>45509</v>
      </c>
      <c r="B13" s="11">
        <v>200.5</v>
      </c>
    </row>
    <row r="14" spans="1:2">
      <c r="A14" s="27">
        <v>45516</v>
      </c>
      <c r="B14" s="11">
        <v>932</v>
      </c>
    </row>
    <row r="15" spans="1:2">
      <c r="A15" s="27">
        <v>45523</v>
      </c>
      <c r="B15" s="11">
        <v>747.25</v>
      </c>
    </row>
    <row r="16" spans="1:2">
      <c r="A16" s="27">
        <v>45530</v>
      </c>
      <c r="B16" s="11">
        <v>725.75</v>
      </c>
    </row>
    <row r="17" spans="1:2">
      <c r="A17" s="27">
        <v>45537</v>
      </c>
      <c r="B17" s="11">
        <v>705.5</v>
      </c>
    </row>
    <row r="18" spans="1:2">
      <c r="A18" s="27">
        <v>45544</v>
      </c>
      <c r="B18" s="11">
        <v>1090</v>
      </c>
    </row>
    <row r="19" spans="1:2">
      <c r="A19" s="27">
        <v>45551</v>
      </c>
      <c r="B19" s="11">
        <v>392</v>
      </c>
    </row>
    <row r="20" spans="1:2">
      <c r="A20" s="27">
        <v>45558</v>
      </c>
      <c r="B20" s="11">
        <v>833.25</v>
      </c>
    </row>
    <row r="21" spans="1:2">
      <c r="A21" s="27">
        <v>45565</v>
      </c>
      <c r="B21" s="11">
        <v>787.75</v>
      </c>
    </row>
    <row r="22" spans="1:2">
      <c r="A22" s="27">
        <v>45572</v>
      </c>
      <c r="B22" s="11">
        <v>939.75</v>
      </c>
    </row>
    <row r="23" spans="1:2">
      <c r="A23" s="27">
        <v>45579</v>
      </c>
      <c r="B23" s="11">
        <v>464</v>
      </c>
    </row>
    <row r="24" spans="1:2">
      <c r="A24" s="27">
        <v>45586</v>
      </c>
      <c r="B24" s="11">
        <v>705.25</v>
      </c>
    </row>
    <row r="25" spans="1:2">
      <c r="A25" s="27">
        <v>45593</v>
      </c>
      <c r="B25" s="11">
        <v>664</v>
      </c>
    </row>
    <row r="26" spans="1:2">
      <c r="A26" s="27">
        <v>45600</v>
      </c>
      <c r="B26" s="11">
        <v>1146</v>
      </c>
    </row>
    <row r="27" spans="1:2">
      <c r="A27" s="27">
        <v>45607</v>
      </c>
      <c r="B27" s="11">
        <v>573.75</v>
      </c>
    </row>
    <row r="28" spans="1:2">
      <c r="A28" s="27">
        <v>45614</v>
      </c>
      <c r="B28" s="11">
        <v>132</v>
      </c>
    </row>
    <row r="29" spans="1:2">
      <c r="A29" s="27">
        <v>45621</v>
      </c>
      <c r="B29" s="11">
        <v>1002</v>
      </c>
    </row>
    <row r="30" spans="1:2">
      <c r="A30" s="27">
        <v>45628</v>
      </c>
      <c r="B30" s="11">
        <v>1198.75</v>
      </c>
    </row>
    <row r="31" spans="1:2">
      <c r="A31" s="27">
        <v>45635</v>
      </c>
      <c r="B31" s="11">
        <v>1198</v>
      </c>
    </row>
    <row r="32" spans="1:2">
      <c r="A32" s="27">
        <v>45642</v>
      </c>
      <c r="B32" s="11">
        <v>1261</v>
      </c>
    </row>
    <row r="33" spans="1:2">
      <c r="A33" s="27">
        <v>45649</v>
      </c>
      <c r="B33" s="11">
        <v>978.5</v>
      </c>
    </row>
    <row r="34" spans="1:2">
      <c r="A34" s="41">
        <v>45656</v>
      </c>
      <c r="B34" s="42">
        <v>1632.5</v>
      </c>
    </row>
    <row r="35" spans="1:2">
      <c r="A35" s="27">
        <v>45663</v>
      </c>
      <c r="B35" s="11">
        <v>889.25</v>
      </c>
    </row>
    <row r="36" spans="1:2">
      <c r="A36" s="27">
        <v>45670</v>
      </c>
      <c r="B36" s="11">
        <v>694.25</v>
      </c>
    </row>
    <row r="37" spans="1:2">
      <c r="A37" s="27">
        <v>45677</v>
      </c>
      <c r="B37" s="11">
        <v>903.5</v>
      </c>
    </row>
    <row r="38" spans="1:2">
      <c r="A38" s="27">
        <v>45684</v>
      </c>
      <c r="B38" s="11">
        <v>845.75</v>
      </c>
    </row>
    <row r="39" spans="1:2">
      <c r="A39" s="27">
        <v>45691</v>
      </c>
      <c r="B39" s="11">
        <v>548.5</v>
      </c>
    </row>
    <row r="40" spans="1:2">
      <c r="A40" s="27">
        <v>45698</v>
      </c>
      <c r="B40" s="11">
        <v>1320.25</v>
      </c>
    </row>
    <row r="41" spans="1:2">
      <c r="A41" s="27">
        <v>45705</v>
      </c>
      <c r="B41" s="11">
        <v>923.25</v>
      </c>
    </row>
    <row r="42" spans="1:2">
      <c r="A42" s="27">
        <v>45712</v>
      </c>
      <c r="B42" s="11">
        <v>1201.5</v>
      </c>
    </row>
    <row r="43" spans="1:2">
      <c r="A43" s="27">
        <v>45719</v>
      </c>
      <c r="B43" s="11">
        <v>602.5</v>
      </c>
    </row>
    <row r="44" spans="1:2">
      <c r="A44" s="27">
        <v>45726</v>
      </c>
      <c r="B44" s="11">
        <v>928</v>
      </c>
    </row>
    <row r="45" spans="1:2">
      <c r="A45" s="27">
        <v>45733</v>
      </c>
      <c r="B45" s="11">
        <v>1010.5</v>
      </c>
    </row>
    <row r="46" spans="1:2">
      <c r="A46" s="27">
        <v>45740</v>
      </c>
      <c r="B46" s="11">
        <v>404</v>
      </c>
    </row>
    <row r="47" spans="1:2">
      <c r="A47" s="27">
        <v>45747</v>
      </c>
      <c r="B47" s="11">
        <v>1074.5</v>
      </c>
    </row>
    <row r="48" spans="1:2">
      <c r="A48" s="27">
        <v>45754</v>
      </c>
      <c r="B48" s="11">
        <v>603</v>
      </c>
    </row>
    <row r="49" spans="1:2">
      <c r="A49" s="27">
        <v>45761</v>
      </c>
      <c r="B49" s="11">
        <v>-34.25</v>
      </c>
    </row>
    <row r="50" spans="1:2">
      <c r="A50" s="27">
        <v>45768</v>
      </c>
      <c r="B50" s="11">
        <v>1010</v>
      </c>
    </row>
    <row r="51" spans="1:2">
      <c r="A51" s="27">
        <v>45775</v>
      </c>
      <c r="B51" s="11">
        <v>894.25</v>
      </c>
    </row>
    <row r="52" spans="1:2">
      <c r="A52" s="27">
        <v>45782</v>
      </c>
      <c r="B52" s="11">
        <v>1148.5</v>
      </c>
    </row>
    <row r="53" spans="1:2">
      <c r="A53" s="27">
        <v>45789</v>
      </c>
      <c r="B53" s="11">
        <v>498.75</v>
      </c>
    </row>
    <row r="54" spans="1:2">
      <c r="A54" s="8" t="s">
        <v>388</v>
      </c>
      <c r="B54" s="11"/>
    </row>
    <row r="55" spans="1:2">
      <c r="A55" s="8" t="s">
        <v>389</v>
      </c>
      <c r="B55" s="11">
        <v>800.52499999999998</v>
      </c>
    </row>
  </sheetData>
  <conditionalFormatting sqref="B1:B1048576">
    <cfRule type="top10" dxfId="12" priority="2" rank="1"/>
  </conditionalFormatting>
  <conditionalFormatting pivot="1" sqref="B34">
    <cfRule type="top10" dxfId="11" priority="1" rank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3:B55"/>
  <sheetViews>
    <sheetView zoomScale="70" zoomScaleNormal="70" workbookViewId="0">
      <selection activeCell="L26" sqref="L26"/>
    </sheetView>
  </sheetViews>
  <sheetFormatPr defaultRowHeight="14.4"/>
  <cols>
    <col min="1" max="1" width="15.6640625" bestFit="1" customWidth="1"/>
    <col min="2" max="2" width="30.88671875" bestFit="1" customWidth="1"/>
  </cols>
  <sheetData>
    <row r="3" spans="1:2">
      <c r="A3" s="7" t="s">
        <v>358</v>
      </c>
      <c r="B3" t="s">
        <v>421</v>
      </c>
    </row>
    <row r="4" spans="1:2">
      <c r="A4" s="27">
        <v>45446</v>
      </c>
      <c r="B4" s="9">
        <v>3.2116285717467505</v>
      </c>
    </row>
    <row r="5" spans="1:2">
      <c r="A5" s="27">
        <v>45453</v>
      </c>
      <c r="B5" s="9">
        <v>1.7703288565423712</v>
      </c>
    </row>
    <row r="6" spans="1:2">
      <c r="A6" s="27">
        <v>45460</v>
      </c>
      <c r="B6" s="9">
        <v>2.1539547236408083</v>
      </c>
    </row>
    <row r="7" spans="1:2">
      <c r="A7" s="27">
        <v>45467</v>
      </c>
      <c r="B7" s="9">
        <v>8.3656458417793491</v>
      </c>
    </row>
    <row r="8" spans="1:2">
      <c r="A8" s="27">
        <v>45474</v>
      </c>
      <c r="B8" s="9">
        <v>0.48730426833547841</v>
      </c>
    </row>
    <row r="9" spans="1:2">
      <c r="A9" s="27">
        <v>45481</v>
      </c>
      <c r="B9" s="9">
        <v>3.354756000370938</v>
      </c>
    </row>
    <row r="10" spans="1:2">
      <c r="A10" s="27">
        <v>45488</v>
      </c>
      <c r="B10" s="9">
        <v>1.4396670468483048</v>
      </c>
    </row>
    <row r="11" spans="1:2">
      <c r="A11" s="27">
        <v>45495</v>
      </c>
      <c r="B11" s="9">
        <v>1.1264037579886488</v>
      </c>
    </row>
    <row r="12" spans="1:2">
      <c r="A12" s="27">
        <v>45502</v>
      </c>
      <c r="B12" s="9">
        <v>3.4929537061935236</v>
      </c>
    </row>
    <row r="13" spans="1:2">
      <c r="A13" s="27">
        <v>45509</v>
      </c>
      <c r="B13" s="9">
        <v>9.5189305206985528E-2</v>
      </c>
    </row>
    <row r="14" spans="1:2">
      <c r="A14" s="27">
        <v>45516</v>
      </c>
      <c r="B14" s="9">
        <v>1.7243765019743567</v>
      </c>
    </row>
    <row r="15" spans="1:2">
      <c r="A15" s="27">
        <v>45523</v>
      </c>
      <c r="B15" s="9">
        <v>1.6984381219344982</v>
      </c>
    </row>
    <row r="16" spans="1:2">
      <c r="A16" s="27">
        <v>45530</v>
      </c>
      <c r="B16" s="9">
        <v>1.0351721516541914</v>
      </c>
    </row>
    <row r="17" spans="1:2">
      <c r="A17" s="27">
        <v>45537</v>
      </c>
      <c r="B17" s="9">
        <v>1.5924402104376347</v>
      </c>
    </row>
    <row r="18" spans="1:2">
      <c r="A18" s="27">
        <v>45544</v>
      </c>
      <c r="B18" s="9">
        <v>2.6433035599960624</v>
      </c>
    </row>
    <row r="19" spans="1:2">
      <c r="A19" s="27">
        <v>45551</v>
      </c>
      <c r="B19" s="9">
        <v>1.0229450897212946</v>
      </c>
    </row>
    <row r="20" spans="1:2">
      <c r="A20" s="27">
        <v>45558</v>
      </c>
      <c r="B20" s="9">
        <v>2.3676743778790517</v>
      </c>
    </row>
    <row r="21" spans="1:2">
      <c r="A21" s="27">
        <v>45565</v>
      </c>
      <c r="B21" s="9">
        <v>2.9681908380916227</v>
      </c>
    </row>
    <row r="22" spans="1:2">
      <c r="A22" s="27">
        <v>45572</v>
      </c>
      <c r="B22" s="9">
        <v>1.5608475520006173</v>
      </c>
    </row>
    <row r="23" spans="1:2">
      <c r="A23" s="27">
        <v>45579</v>
      </c>
      <c r="B23" s="9">
        <v>0.67365296552308895</v>
      </c>
    </row>
    <row r="24" spans="1:2">
      <c r="A24" s="27">
        <v>45586</v>
      </c>
      <c r="B24" s="9">
        <v>2.7659642344448279</v>
      </c>
    </row>
    <row r="25" spans="1:2">
      <c r="A25" s="27">
        <v>45593</v>
      </c>
      <c r="B25" s="9">
        <v>0.90723511832010506</v>
      </c>
    </row>
    <row r="26" spans="1:2">
      <c r="A26" s="27">
        <v>45600</v>
      </c>
      <c r="B26" s="9">
        <v>3.480443232894086</v>
      </c>
    </row>
    <row r="27" spans="1:2">
      <c r="A27" s="27">
        <v>45607</v>
      </c>
      <c r="B27" s="9">
        <v>3.3262180995025212</v>
      </c>
    </row>
    <row r="28" spans="1:2">
      <c r="A28" s="27">
        <v>45614</v>
      </c>
      <c r="B28" s="9">
        <v>3.6499095817240104E-2</v>
      </c>
    </row>
    <row r="29" spans="1:2">
      <c r="A29" s="27">
        <v>45621</v>
      </c>
      <c r="B29" s="9">
        <v>2.5210126764684961</v>
      </c>
    </row>
    <row r="30" spans="1:2">
      <c r="A30" s="27">
        <v>45628</v>
      </c>
      <c r="B30" s="9">
        <v>1.2578968951130547</v>
      </c>
    </row>
    <row r="31" spans="1:2">
      <c r="A31" s="27">
        <v>45635</v>
      </c>
      <c r="B31" s="9">
        <v>12.845364570690702</v>
      </c>
    </row>
    <row r="32" spans="1:2">
      <c r="A32" s="27">
        <v>45642</v>
      </c>
      <c r="B32" s="9">
        <v>1.2332893303266004</v>
      </c>
    </row>
    <row r="33" spans="1:2">
      <c r="A33" s="27">
        <v>45649</v>
      </c>
      <c r="B33" s="9">
        <v>8.4599797680967068</v>
      </c>
    </row>
    <row r="34" spans="1:2">
      <c r="A34" s="27">
        <v>45656</v>
      </c>
      <c r="B34" s="9">
        <v>3.3448272236163898</v>
      </c>
    </row>
    <row r="35" spans="1:2">
      <c r="A35" s="27">
        <v>45663</v>
      </c>
      <c r="B35" s="9">
        <v>2.0480670523061217</v>
      </c>
    </row>
    <row r="36" spans="1:2">
      <c r="A36" s="27">
        <v>45670</v>
      </c>
      <c r="B36" s="9">
        <v>6.8368426929055008</v>
      </c>
    </row>
    <row r="37" spans="1:2">
      <c r="A37" s="27">
        <v>45677</v>
      </c>
      <c r="B37" s="9">
        <v>1.4298525398669575</v>
      </c>
    </row>
    <row r="38" spans="1:2">
      <c r="A38" s="27">
        <v>45684</v>
      </c>
      <c r="B38" s="9">
        <v>1.0414563333288709</v>
      </c>
    </row>
    <row r="39" spans="1:2">
      <c r="A39" s="27">
        <v>45691</v>
      </c>
      <c r="B39" s="9">
        <v>1.102751659414378</v>
      </c>
    </row>
    <row r="40" spans="1:2">
      <c r="A40" s="27">
        <v>45698</v>
      </c>
      <c r="B40" s="9">
        <v>2.3171033185299232</v>
      </c>
    </row>
    <row r="41" spans="1:2">
      <c r="A41" s="27">
        <v>45705</v>
      </c>
      <c r="B41" s="9">
        <v>2.8109609177466908</v>
      </c>
    </row>
    <row r="42" spans="1:2">
      <c r="A42" s="27">
        <v>45712</v>
      </c>
      <c r="B42" s="9">
        <v>2.2696731435390327</v>
      </c>
    </row>
    <row r="43" spans="1:2">
      <c r="A43" s="27">
        <v>45719</v>
      </c>
      <c r="B43" s="9">
        <v>0.81105866227128331</v>
      </c>
    </row>
    <row r="44" spans="1:2">
      <c r="A44" s="27">
        <v>45726</v>
      </c>
      <c r="B44" s="9">
        <v>12.399620310073963</v>
      </c>
    </row>
    <row r="45" spans="1:2">
      <c r="A45" s="27">
        <v>45733</v>
      </c>
      <c r="B45" s="9">
        <v>15.378172307137868</v>
      </c>
    </row>
    <row r="46" spans="1:2">
      <c r="A46" s="27">
        <v>45740</v>
      </c>
      <c r="B46" s="9">
        <v>0.47959118746478369</v>
      </c>
    </row>
    <row r="47" spans="1:2">
      <c r="A47" s="27">
        <v>45747</v>
      </c>
      <c r="B47" s="9">
        <v>1.547221108535999</v>
      </c>
    </row>
    <row r="48" spans="1:2">
      <c r="A48" s="27">
        <v>45754</v>
      </c>
      <c r="B48" s="9">
        <v>4.7308842714211172</v>
      </c>
    </row>
    <row r="49" spans="1:2">
      <c r="A49" s="27">
        <v>45761</v>
      </c>
      <c r="B49" s="9">
        <v>-0.41101434036561585</v>
      </c>
    </row>
    <row r="50" spans="1:2">
      <c r="A50" s="27">
        <v>45768</v>
      </c>
      <c r="B50" s="9">
        <v>2.0649559566949938</v>
      </c>
    </row>
    <row r="51" spans="1:2">
      <c r="A51" s="27">
        <v>45775</v>
      </c>
      <c r="B51" s="9">
        <v>6.3117584337711676</v>
      </c>
    </row>
    <row r="52" spans="1:2">
      <c r="A52" s="27">
        <v>45782</v>
      </c>
      <c r="B52" s="9">
        <v>1.3945809262878415</v>
      </c>
    </row>
    <row r="53" spans="1:2">
      <c r="A53" s="27">
        <v>45789</v>
      </c>
      <c r="B53" s="9">
        <v>0.11593541466178414</v>
      </c>
    </row>
    <row r="54" spans="1:2">
      <c r="A54" s="8" t="s">
        <v>388</v>
      </c>
      <c r="B54" s="9"/>
    </row>
    <row r="55" spans="1:2">
      <c r="A55" s="8" t="s">
        <v>389</v>
      </c>
      <c r="B55" s="9">
        <v>147.64307558874893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K32" sqref="J32:K33"/>
    </sheetView>
  </sheetViews>
  <sheetFormatPr defaultRowHeight="14.4"/>
  <cols>
    <col min="1" max="1" width="10.21875" customWidth="1"/>
    <col min="2" max="2" width="15.44140625" customWidth="1"/>
    <col min="3" max="3" width="21.88671875" customWidth="1"/>
  </cols>
  <sheetData>
    <row r="1" spans="1:3">
      <c r="A1" s="29" t="s">
        <v>414</v>
      </c>
      <c r="B1" s="29" t="s">
        <v>363</v>
      </c>
      <c r="C1" s="29" t="s">
        <v>401</v>
      </c>
    </row>
    <row r="2" spans="1:3">
      <c r="A2" s="28" t="s">
        <v>363</v>
      </c>
      <c r="B2" s="28">
        <v>1</v>
      </c>
      <c r="C2" s="28"/>
    </row>
    <row r="3" spans="1:3">
      <c r="A3" s="28" t="s">
        <v>401</v>
      </c>
      <c r="B3" s="28">
        <v>-0.62778130291623624</v>
      </c>
      <c r="C3" s="2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F5:P5"/>
  <sheetViews>
    <sheetView tabSelected="1" workbookViewId="0">
      <selection activeCell="I21" sqref="I21"/>
    </sheetView>
  </sheetViews>
  <sheetFormatPr defaultRowHeight="14.4"/>
  <sheetData>
    <row r="5" spans="6:16">
      <c r="F5" s="47" t="s">
        <v>428</v>
      </c>
      <c r="G5" s="46"/>
      <c r="H5" s="46"/>
      <c r="I5" s="46"/>
      <c r="J5" s="46"/>
      <c r="K5" s="46"/>
      <c r="L5" s="46"/>
      <c r="M5" s="46"/>
      <c r="N5" s="46"/>
      <c r="O5" s="46"/>
      <c r="P5" s="46"/>
    </row>
  </sheetData>
  <mergeCells count="1">
    <mergeCell ref="F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Posts</vt:lpstr>
      <vt:lpstr>Engagement Summary</vt:lpstr>
      <vt:lpstr>Campaign Metadata</vt:lpstr>
      <vt:lpstr>Task 2</vt:lpstr>
      <vt:lpstr>Task 2.1</vt:lpstr>
      <vt:lpstr>Task 2.2</vt:lpstr>
      <vt:lpstr>Task 3</vt:lpstr>
      <vt:lpstr>Task 3.1</vt:lpstr>
      <vt:lpstr>Task 3.2</vt:lpstr>
      <vt:lpstr>Task 4</vt:lpstr>
      <vt:lpstr>Task 4.1</vt:lpstr>
      <vt:lpstr>Task 4.2</vt:lpstr>
      <vt:lpstr>Task 4.3</vt:lpstr>
      <vt:lpstr>Task 5</vt:lpstr>
      <vt:lpstr>Task 5.1</vt:lpstr>
      <vt:lpstr>Task 5.2</vt:lpstr>
      <vt:lpstr>Task 5.3</vt:lpstr>
      <vt:lpstr>Task 6</vt:lpstr>
      <vt:lpstr>Task 6.1</vt:lpstr>
      <vt:lpstr>Task 6.2</vt:lpstr>
      <vt:lpstr>Task 6.3</vt:lpstr>
      <vt:lpstr>Video Link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Ultimate</dc:creator>
  <cp:lastModifiedBy>Ultimate</cp:lastModifiedBy>
  <dcterms:created xsi:type="dcterms:W3CDTF">2025-09-24T13:09:52Z</dcterms:created>
  <dcterms:modified xsi:type="dcterms:W3CDTF">2025-10-06T13:39:46Z</dcterms:modified>
</cp:coreProperties>
</file>